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ork\Projects\In_progress\conservation_evidence_factors_synthesis\data\"/>
    </mc:Choice>
  </mc:AlternateContent>
  <xr:revisionPtr revIDLastSave="0" documentId="13_ncr:1_{F0DED933-D4E8-48F0-BB05-251B1FDE4102}" xr6:coauthVersionLast="47" xr6:coauthVersionMax="47" xr10:uidLastSave="{00000000-0000-0000-0000-000000000000}"/>
  <bookViews>
    <workbookView xWindow="-110" yWindow="-110" windowWidth="19420" windowHeight="11500" activeTab="2" xr2:uid="{6E12F9A6-757F-44E9-B59F-62645BD9B3E3}"/>
  </bookViews>
  <sheets>
    <sheet name="Benchmark studies" sheetId="2" r:id="rId1"/>
    <sheet name="Search terms" sheetId="1" r:id="rId2"/>
    <sheet name="Roses for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D6" i="3"/>
  <c r="D8" i="3"/>
  <c r="B20" i="3"/>
  <c r="B21" i="3" s="1"/>
  <c r="B6" i="3"/>
  <c r="B8" i="3" s="1"/>
  <c r="B9" i="3"/>
  <c r="F12" i="1" l="1"/>
  <c r="F11" i="1"/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<sst xmlns="http://schemas.openxmlformats.org/spreadsheetml/2006/main" count="124" uniqueCount="101">
  <si>
    <t>Search number</t>
  </si>
  <si>
    <t>Date of search</t>
  </si>
  <si>
    <t>Search terms</t>
  </si>
  <si>
    <t>Platforms searched</t>
  </si>
  <si>
    <t>Unique results returned</t>
  </si>
  <si>
    <t>Number of benchmark studies returned</t>
  </si>
  <si>
    <t>% of studies relevant at abstract</t>
  </si>
  <si>
    <t>Comments</t>
  </si>
  <si>
    <t>Benchmark 1 returned</t>
  </si>
  <si>
    <t>Benchmark 2 returned</t>
  </si>
  <si>
    <t>Benchmark 3 returned</t>
  </si>
  <si>
    <t>Benchmark 4 returned</t>
  </si>
  <si>
    <t>Benchmark 5 returned</t>
  </si>
  <si>
    <t>Benchmark 6 returned</t>
  </si>
  <si>
    <t>Benchmark 7 returned</t>
  </si>
  <si>
    <t>Benchmark 8 returned</t>
  </si>
  <si>
    <t>Benchmark 9 returned</t>
  </si>
  <si>
    <t>Benchmark 10 returned</t>
  </si>
  <si>
    <t>Title</t>
  </si>
  <si>
    <t>Journal</t>
  </si>
  <si>
    <t>Year</t>
  </si>
  <si>
    <t>link</t>
  </si>
  <si>
    <t>A typology of barriers and enablers of scientific evidence use in conservation practice</t>
  </si>
  <si>
    <t>Journal of Environmental Management</t>
  </si>
  <si>
    <t>https://doi.org/10.1016/j.jenvman.2019.109481</t>
  </si>
  <si>
    <t>Evidence-based decision-making in Canada’s protected areas organizations: Implications for management effectiveness</t>
  </si>
  <si>
    <t>FACETS</t>
  </si>
  <si>
    <t>https://doi.org/10.1139/facets-2017-0107</t>
  </si>
  <si>
    <t>ID</t>
  </si>
  <si>
    <t>Poor alignment of priorities between scientists and policymakers highlights the need for evidence-informed conservation in Brazil</t>
  </si>
  <si>
    <t>Perspectives in Ecology and Conservation</t>
  </si>
  <si>
    <t>https://doi.org/10.1016/j.pecon.2018.06.002</t>
  </si>
  <si>
    <t>https://besjournals.onlinelibrary.wiley.com/doi/full/10.1002/pan3.10258</t>
  </si>
  <si>
    <t>Use of evidence for decision-making by conservation practitioners in the illegal wildlife trade</t>
  </si>
  <si>
    <t>People and Nature</t>
  </si>
  <si>
    <t>How to close the science-practice gap in nature conservation? Information sources used by practitioners</t>
  </si>
  <si>
    <t>Biological Conservation</t>
  </si>
  <si>
    <t>https://doi.org/10.1016/j.biocon.2019.04.011</t>
  </si>
  <si>
    <t>https://doi.org/10.1016/j.marpol.2014.10.026</t>
  </si>
  <si>
    <t>Overcoming barriers to knowledge exchange for adaptive resource management; the perspectives of Australian marine scientists</t>
  </si>
  <si>
    <t>Marine Policy</t>
  </si>
  <si>
    <t>https://doi.org/10.1139/cjfas-2017-0305</t>
  </si>
  <si>
    <t>What is “usable” knowledge? Perceived barriers for integrating new knowledge into management of an iconic Canadian fishery</t>
  </si>
  <si>
    <t>Canadian Journal of Fisheries and Aquatic Sciences</t>
  </si>
  <si>
    <t>Assessing Conservation Management's Evidence Base: a Survey of Management-Plan Compilers in the United Kingdom and Australia</t>
  </si>
  <si>
    <t>Conservation Biology</t>
  </si>
  <si>
    <t>https://doi.org/10.1111/j.1523-1739.2005.00287.x</t>
  </si>
  <si>
    <t>https://doi.org/10.1016/j.biocon.2010.11.023</t>
  </si>
  <si>
    <t>Science and elephant management decisions in South Africa</t>
  </si>
  <si>
    <t>https://doi.org/10.1017/S0030605313001634</t>
  </si>
  <si>
    <t>The research–implementation gap: how practitioners and researchers from developing countries perceive the role of peer-reviewed literature in conservation science</t>
  </si>
  <si>
    <t>Oryx</t>
  </si>
  <si>
    <t>TITLE-ABS-KEY ( ( evidence ) AND ( barrier* OR facilitat* OR use OR used OR uptake* OR utilis* OR utiliz* ) AND ( conservation ) AND ( practitioner OR practice OR policy* ) )</t>
  </si>
  <si>
    <t>NA</t>
  </si>
  <si>
    <t>TITLE-ABS-KEY ( ( evidence* ) AND ( barrier* OR facilitat* OR use OR used OR uptake* OR utilis* OR utiliz* ) AND ( conservation ) AND ( practitioner OR practice OR policy* ) )</t>
  </si>
  <si>
    <t>Scopus</t>
  </si>
  <si>
    <t>Changed "evidence" to "evidence*" to allow inclusion of "evidence-based" etc</t>
  </si>
  <si>
    <t>TITLE-ABS-KEY ( ( evidence* ) AND ( barrier* OR facilitat* OR use OR used OR uptake* OR utilis* OR utiliz* ) AND ( conservation ))</t>
  </si>
  <si>
    <t>Removed part of search string referring to practice and policy because a number of the benchmark abstracts did not contain reference to this</t>
  </si>
  <si>
    <t>TITLE-ABS-KEY ( ( evidence* ) AND ( barrier* OR facilitat* OR use OR used OR uptake* OR utilis* OR utiliz* OR "science-practice gap" OR "science-implementation gap"  OR "knowing-doing gap") AND ( conservation ))</t>
  </si>
  <si>
    <t>Added terms related the "science-implementation gaps"</t>
  </si>
  <si>
    <t>TITLE-ABS-KEY ( ( evidence* ) AND ( barrier* OR facilitat* OR use OR used OR uptake* OR utilis* OR utiliz* OR "science-practice gap" OR "science-implementation gap"  OR "knowing-doing gap" OR "decision$making") AND ( conservation ))</t>
  </si>
  <si>
    <t>Added term related to decision-making</t>
  </si>
  <si>
    <t>TITLE-ABS-KEY ( ( evidence* ) AND ( barrier* OR facilitat* OR use OR used OR uptake* OR utilis* OR utiliz* OR "science-practice gap" OR "science-implementation gap"  OR "knowing-doing gap" OR "decision$making") AND ( conservation OR fishery OR fisheries))</t>
  </si>
  <si>
    <t>Added term related to fisheries</t>
  </si>
  <si>
    <t>Added term related to knowledge</t>
  </si>
  <si>
    <t>TITLE-ABS-KEY ( ( evidence* OR knowledge) AND ( barrier* OR facilitat* OR use OR used OR uptake* OR utilis* OR utiliz* OR "science-practice gap" OR "science-implementation gap"  OR "knowing-doing gap" OR "decision$making") AND ( conservation OR fishery OR fisheries))</t>
  </si>
  <si>
    <t>TITLE-ABS-KEY ( ( evidence* OR knowledge) AND ( barrier* OR facilitat* OR use OR used OR uptake* OR utilis* OR utiliz* OR "science-practice gap" OR "science-implementation gap"  OR "knowing-doing gap" OR "decision$making") AND ( conservation OR fishery OR fisheries OR marine))</t>
  </si>
  <si>
    <t>TITLE-ABS-KEY ( ( evidence* OR ( knowledge W/ 5 use ) ) AND ( barrier* OR facilitat* OR use OR used OR uptake* OR utilis* OR utiliz* OR "science-practice gap" OR "science-implementation gap" OR "knowing-doing gap" OR "decision$making" ) AND ( conservation OR fishery OR fisheries OR marine ) )</t>
  </si>
  <si>
    <t>Added term related to marine</t>
  </si>
  <si>
    <t>Added proximity term for knowledge and use</t>
  </si>
  <si>
    <t>TITLE-ABS-KEY ( ( evidence* OR ( knowledge W/ 5 use* ) ) AND ( barrier* OR facilitat* OR use OR used OR uptake* OR utilis* OR utiliz* OR "science-practice gap" OR "science-implementation gap" OR "knowing-doing gap" OR "decision$making" ) AND ( conservation OR fishery OR fisheries OR marine ) )</t>
  </si>
  <si>
    <t>Added wildcard to knowledge use proximity search so that it would also find "users" etc</t>
  </si>
  <si>
    <t>TITLE-ABS-KEY ( ( evidence* OR ( knowledge W/ 5 use*)  OR (scientific W/5 information)) AND ( barrier* OR facilitat* OR use OR used OR uptake* OR utilis* OR utiliz* OR "science$practice gap" OR "science$implementation gap" OR "knowing$doing gap" OR "decision$making" ) AND ( conservation OR fishery OR fisheries OR marine ) )</t>
  </si>
  <si>
    <t>Added $ to terms related to science implementation gaps</t>
  </si>
  <si>
    <t>TITLE-ABS-KEY ((evidence* OR (knowledge W/5 use*) OR (scientific w/5 information)) AND (barrier* OR facilitat* OR use OR used OR uptake* OR utilis* OR utiliz* OR "science$practice gap" OR "science$implementation gap" OR "knowing$doing gap" OR "decision making" OR "decision-making") AND ( conservation OR fishery OR fisheries OR marine))</t>
  </si>
  <si>
    <t>Modified terms ralted to science implementation gaps</t>
  </si>
  <si>
    <t>Prescreened records</t>
  </si>
  <si>
    <t>Deduplicated records</t>
  </si>
  <si>
    <t>Duplicates removed</t>
  </si>
  <si>
    <t>Included abstracts</t>
  </si>
  <si>
    <t>Excluded abstracts</t>
  </si>
  <si>
    <t>Reviewed full texts</t>
  </si>
  <si>
    <t>Inaccessible full texts</t>
  </si>
  <si>
    <t>Full texts not found</t>
  </si>
  <si>
    <t>Included full texts</t>
  </si>
  <si>
    <t>Excluded full texts (not in English)</t>
  </si>
  <si>
    <t>Total excluded texts at full-text</t>
  </si>
  <si>
    <t>Articles in the review</t>
  </si>
  <si>
    <t>Studies in the review</t>
  </si>
  <si>
    <t>Studies included in the map</t>
  </si>
  <si>
    <t>Stage</t>
  </si>
  <si>
    <t>Number</t>
  </si>
  <si>
    <t>Total references</t>
  </si>
  <si>
    <t>Articles removed by automation</t>
  </si>
  <si>
    <t>Excluded full texts (not a primary study)</t>
  </si>
  <si>
    <t>Excluded full texts (wrong study design)</t>
  </si>
  <si>
    <t>Excluded full texts (not about policy or practice)</t>
  </si>
  <si>
    <t>Excluded full texts (not about evidence use)</t>
  </si>
  <si>
    <t>Excluded full texts (not about factors influencing evidence use)</t>
  </si>
  <si>
    <t>Excluded full texts (not about conservation)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</si>
</sst>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1"/>
    <xf numFmtId="164" fontId="0" fillId="0" borderId="0" xfId="2" applyNumberFormat="1" applyFont="1"/>
    <xf numFmtId="164" fontId="0" fillId="0" borderId="0" xfId="0" applyNumberForma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11/j.1523-1739.2005.00287.x" TargetMode="External"/><Relationship Id="rId3" Type="http://schemas.openxmlformats.org/officeDocument/2006/relationships/hyperlink" Target="https://doi.org/10.1016/j.pecon.2018.06.002" TargetMode="External"/><Relationship Id="rId7" Type="http://schemas.openxmlformats.org/officeDocument/2006/relationships/hyperlink" Target="https://doi.org/10.1139/cjfas-2017-0305" TargetMode="External"/><Relationship Id="rId2" Type="http://schemas.openxmlformats.org/officeDocument/2006/relationships/hyperlink" Target="https://doi.org/10.1139/facets-2017-0107" TargetMode="External"/><Relationship Id="rId1" Type="http://schemas.openxmlformats.org/officeDocument/2006/relationships/hyperlink" Target="https://doi.org/10.1016/j.jenvman.2019.109481" TargetMode="External"/><Relationship Id="rId6" Type="http://schemas.openxmlformats.org/officeDocument/2006/relationships/hyperlink" Target="https://doi.org/10.1016/j.marpol.2014.10.026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016/j.biocon.2019.04.011" TargetMode="External"/><Relationship Id="rId10" Type="http://schemas.openxmlformats.org/officeDocument/2006/relationships/hyperlink" Target="https://doi.org/10.1017/S0030605313001634" TargetMode="External"/><Relationship Id="rId4" Type="http://schemas.openxmlformats.org/officeDocument/2006/relationships/hyperlink" Target="https://besjournals.onlinelibrary.wiley.com/doi/full/10.1002/pan3.10258" TargetMode="External"/><Relationship Id="rId9" Type="http://schemas.openxmlformats.org/officeDocument/2006/relationships/hyperlink" Target="https://doi.org/10.1016/j.biocon.2010.11.0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44D2-0179-4F11-B929-311EC031542E}">
  <dimension ref="A1:E11"/>
  <sheetViews>
    <sheetView workbookViewId="0">
      <selection activeCell="B11" sqref="B11"/>
    </sheetView>
  </sheetViews>
  <sheetFormatPr defaultRowHeight="14.5" x14ac:dyDescent="0.35"/>
  <cols>
    <col min="1" max="1" width="4.453125" customWidth="1"/>
    <col min="2" max="2" width="114.1796875" customWidth="1"/>
    <col min="4" max="4" width="16.54296875" customWidth="1"/>
  </cols>
  <sheetData>
    <row r="1" spans="1:5" x14ac:dyDescent="0.35">
      <c r="A1" t="s">
        <v>28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5">
      <c r="A2">
        <v>1</v>
      </c>
      <c r="B2" t="s">
        <v>22</v>
      </c>
      <c r="C2" t="s">
        <v>23</v>
      </c>
      <c r="D2">
        <v>2019</v>
      </c>
      <c r="E2" s="3" t="s">
        <v>24</v>
      </c>
    </row>
    <row r="3" spans="1:5" x14ac:dyDescent="0.35">
      <c r="A3">
        <v>2</v>
      </c>
      <c r="B3" t="s">
        <v>25</v>
      </c>
      <c r="C3" t="s">
        <v>26</v>
      </c>
      <c r="D3">
        <v>2018</v>
      </c>
      <c r="E3" s="3" t="s">
        <v>27</v>
      </c>
    </row>
    <row r="4" spans="1:5" x14ac:dyDescent="0.35">
      <c r="A4">
        <v>3</v>
      </c>
      <c r="B4" t="s">
        <v>29</v>
      </c>
      <c r="C4" t="s">
        <v>30</v>
      </c>
      <c r="D4">
        <v>2018</v>
      </c>
      <c r="E4" s="3" t="s">
        <v>31</v>
      </c>
    </row>
    <row r="5" spans="1:5" x14ac:dyDescent="0.35">
      <c r="A5">
        <v>4</v>
      </c>
      <c r="B5" t="s">
        <v>33</v>
      </c>
      <c r="C5" t="s">
        <v>34</v>
      </c>
      <c r="D5">
        <v>2021</v>
      </c>
      <c r="E5" s="3" t="s">
        <v>32</v>
      </c>
    </row>
    <row r="6" spans="1:5" x14ac:dyDescent="0.35">
      <c r="A6">
        <v>5</v>
      </c>
      <c r="B6" t="s">
        <v>35</v>
      </c>
      <c r="C6" t="s">
        <v>36</v>
      </c>
      <c r="D6">
        <v>2019</v>
      </c>
      <c r="E6" s="3" t="s">
        <v>37</v>
      </c>
    </row>
    <row r="7" spans="1:5" x14ac:dyDescent="0.35">
      <c r="A7">
        <v>6</v>
      </c>
      <c r="B7" t="s">
        <v>39</v>
      </c>
      <c r="C7" t="s">
        <v>40</v>
      </c>
      <c r="D7">
        <v>2015</v>
      </c>
      <c r="E7" s="3" t="s">
        <v>38</v>
      </c>
    </row>
    <row r="8" spans="1:5" x14ac:dyDescent="0.35">
      <c r="A8">
        <v>7</v>
      </c>
      <c r="B8" t="s">
        <v>42</v>
      </c>
      <c r="C8" t="s">
        <v>43</v>
      </c>
      <c r="D8">
        <v>2018</v>
      </c>
      <c r="E8" s="3" t="s">
        <v>41</v>
      </c>
    </row>
    <row r="9" spans="1:5" x14ac:dyDescent="0.35">
      <c r="A9">
        <v>8</v>
      </c>
      <c r="B9" t="s">
        <v>44</v>
      </c>
      <c r="C9" t="s">
        <v>45</v>
      </c>
      <c r="D9">
        <v>2005</v>
      </c>
      <c r="E9" s="3" t="s">
        <v>46</v>
      </c>
    </row>
    <row r="10" spans="1:5" x14ac:dyDescent="0.35">
      <c r="A10">
        <v>9</v>
      </c>
      <c r="B10" t="s">
        <v>48</v>
      </c>
      <c r="C10" t="s">
        <v>36</v>
      </c>
      <c r="D10">
        <v>2011</v>
      </c>
      <c r="E10" s="3" t="s">
        <v>47</v>
      </c>
    </row>
    <row r="11" spans="1:5" x14ac:dyDescent="0.35">
      <c r="A11">
        <v>10</v>
      </c>
      <c r="B11" t="s">
        <v>50</v>
      </c>
      <c r="C11" t="s">
        <v>51</v>
      </c>
      <c r="D11">
        <v>2015</v>
      </c>
      <c r="E11" s="3" t="s">
        <v>49</v>
      </c>
    </row>
  </sheetData>
  <hyperlinks>
    <hyperlink ref="E2" r:id="rId1" xr:uid="{9080DF80-7A39-44E6-9D85-D88333E1CD2C}"/>
    <hyperlink ref="E3" r:id="rId2" xr:uid="{81E1F491-F892-44C2-AA78-1E40CFC7FF71}"/>
    <hyperlink ref="E4" r:id="rId3" xr:uid="{A14A9AEC-C4D0-472A-B6C3-9481E7A0A474}"/>
    <hyperlink ref="E5" r:id="rId4" xr:uid="{E35E9333-2340-4E8F-916D-2F60373CB820}"/>
    <hyperlink ref="E6" r:id="rId5" xr:uid="{6E35EAC5-576A-449A-AA51-658A6BD42F6D}"/>
    <hyperlink ref="E7" r:id="rId6" xr:uid="{4D5832F3-8D6A-44EB-8DB0-E3FC4B6BF12E}"/>
    <hyperlink ref="E8" r:id="rId7" xr:uid="{21E50515-B0D6-4F84-A3C6-6E43919A0CEF}"/>
    <hyperlink ref="E9" r:id="rId8" xr:uid="{EE3D840A-0EB7-4971-9175-E61426621AA8}"/>
    <hyperlink ref="E10" r:id="rId9" xr:uid="{7B603E9F-C7F8-4690-9F57-9D58673F6148}"/>
    <hyperlink ref="E11" r:id="rId10" xr:uid="{7F03AF27-6A8C-49CC-B472-B9E23BA89F74}"/>
  </hyperlinks>
  <pageMargins left="0.7" right="0.7" top="0.75" bottom="0.75" header="0.3" footer="0.3"/>
  <pageSetup paperSize="9" orientation="portrait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4CD3-B81D-4935-A650-7301C27E6529}">
  <dimension ref="A1:AB13"/>
  <sheetViews>
    <sheetView workbookViewId="0">
      <selection activeCell="C13" sqref="C13"/>
    </sheetView>
  </sheetViews>
  <sheetFormatPr defaultColWidth="34.54296875" defaultRowHeight="14.5" x14ac:dyDescent="0.35"/>
  <cols>
    <col min="1" max="1" width="14.453125" bestFit="1" customWidth="1"/>
    <col min="3" max="3" width="135.45312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5">
      <c r="A2">
        <v>1</v>
      </c>
      <c r="B2" s="2">
        <v>45681</v>
      </c>
      <c r="C2" t="s">
        <v>52</v>
      </c>
      <c r="D2" t="s">
        <v>55</v>
      </c>
      <c r="E2">
        <v>1773</v>
      </c>
      <c r="F2">
        <f t="shared" ref="F2:F10" si="0">COUNTIF(I2:R2,"TRUE")</f>
        <v>4</v>
      </c>
      <c r="G2" t="s">
        <v>53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</row>
    <row r="3" spans="1:28" x14ac:dyDescent="0.35">
      <c r="A3">
        <v>2</v>
      </c>
      <c r="B3" s="2">
        <v>45681</v>
      </c>
      <c r="C3" t="s">
        <v>54</v>
      </c>
      <c r="D3" t="s">
        <v>55</v>
      </c>
      <c r="E3">
        <v>1821</v>
      </c>
      <c r="F3">
        <f t="shared" si="0"/>
        <v>4</v>
      </c>
      <c r="G3" t="s">
        <v>53</v>
      </c>
      <c r="H3" t="s">
        <v>56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</row>
    <row r="4" spans="1:28" x14ac:dyDescent="0.35">
      <c r="A4">
        <v>3</v>
      </c>
      <c r="B4" s="2">
        <v>45681</v>
      </c>
      <c r="C4" t="s">
        <v>57</v>
      </c>
      <c r="D4" t="s">
        <v>55</v>
      </c>
      <c r="E4">
        <v>5948</v>
      </c>
      <c r="F4">
        <f t="shared" si="0"/>
        <v>5</v>
      </c>
      <c r="G4" t="s">
        <v>53</v>
      </c>
      <c r="H4" t="s">
        <v>58</v>
      </c>
      <c r="I4" t="b">
        <v>1</v>
      </c>
      <c r="J4" t="b">
        <v>1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</row>
    <row r="5" spans="1:28" x14ac:dyDescent="0.35">
      <c r="A5">
        <v>4</v>
      </c>
      <c r="B5" s="2">
        <v>45681</v>
      </c>
      <c r="C5" t="s">
        <v>59</v>
      </c>
      <c r="D5" t="s">
        <v>55</v>
      </c>
      <c r="E5">
        <v>5957</v>
      </c>
      <c r="F5">
        <f t="shared" si="0"/>
        <v>7</v>
      </c>
      <c r="G5" t="s">
        <v>53</v>
      </c>
      <c r="H5" t="s">
        <v>60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1</v>
      </c>
    </row>
    <row r="6" spans="1:28" x14ac:dyDescent="0.35">
      <c r="A6">
        <v>5</v>
      </c>
      <c r="B6" s="2">
        <v>45681</v>
      </c>
      <c r="C6" t="s">
        <v>61</v>
      </c>
      <c r="D6" t="s">
        <v>55</v>
      </c>
      <c r="E6">
        <v>7288</v>
      </c>
      <c r="F6">
        <f t="shared" si="0"/>
        <v>8</v>
      </c>
      <c r="G6" t="s">
        <v>53</v>
      </c>
      <c r="H6" t="s">
        <v>62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0</v>
      </c>
      <c r="O6" t="b">
        <v>0</v>
      </c>
      <c r="P6" t="b">
        <v>1</v>
      </c>
      <c r="Q6" t="b">
        <v>1</v>
      </c>
      <c r="R6" t="b">
        <v>1</v>
      </c>
    </row>
    <row r="7" spans="1:28" x14ac:dyDescent="0.35">
      <c r="A7">
        <v>6</v>
      </c>
      <c r="B7" s="2">
        <v>45681</v>
      </c>
      <c r="C7" t="s">
        <v>63</v>
      </c>
      <c r="D7" t="s">
        <v>55</v>
      </c>
      <c r="E7">
        <v>8109</v>
      </c>
      <c r="F7">
        <f t="shared" si="0"/>
        <v>8</v>
      </c>
      <c r="G7" t="s">
        <v>53</v>
      </c>
      <c r="H7" t="s">
        <v>64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0</v>
      </c>
      <c r="O7" t="b">
        <v>0</v>
      </c>
      <c r="P7" t="b">
        <v>1</v>
      </c>
      <c r="Q7" t="b">
        <v>1</v>
      </c>
      <c r="R7" t="b">
        <v>1</v>
      </c>
    </row>
    <row r="8" spans="1:28" x14ac:dyDescent="0.35">
      <c r="A8">
        <v>7</v>
      </c>
      <c r="B8" s="2">
        <v>45681</v>
      </c>
      <c r="C8" t="s">
        <v>66</v>
      </c>
      <c r="D8" t="s">
        <v>55</v>
      </c>
      <c r="E8">
        <v>19230</v>
      </c>
      <c r="F8">
        <f t="shared" si="0"/>
        <v>8</v>
      </c>
      <c r="G8" t="s">
        <v>53</v>
      </c>
      <c r="H8" t="s">
        <v>65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0</v>
      </c>
      <c r="O8" t="b">
        <v>0</v>
      </c>
      <c r="P8" t="b">
        <v>1</v>
      </c>
      <c r="Q8" t="b">
        <v>1</v>
      </c>
      <c r="R8" t="b">
        <v>1</v>
      </c>
    </row>
    <row r="9" spans="1:28" x14ac:dyDescent="0.35">
      <c r="A9">
        <v>8</v>
      </c>
      <c r="B9" s="2">
        <v>45681</v>
      </c>
      <c r="C9" t="s">
        <v>67</v>
      </c>
      <c r="D9" t="s">
        <v>55</v>
      </c>
      <c r="E9">
        <v>26425</v>
      </c>
      <c r="F9">
        <f t="shared" si="0"/>
        <v>10</v>
      </c>
      <c r="G9" t="s">
        <v>53</v>
      </c>
      <c r="H9" t="s">
        <v>69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</row>
    <row r="10" spans="1:28" x14ac:dyDescent="0.35">
      <c r="A10">
        <v>10</v>
      </c>
      <c r="B10" s="2">
        <v>45681</v>
      </c>
      <c r="C10" t="s">
        <v>68</v>
      </c>
      <c r="D10" t="s">
        <v>55</v>
      </c>
      <c r="E10">
        <v>12338</v>
      </c>
      <c r="F10">
        <f t="shared" si="0"/>
        <v>8</v>
      </c>
      <c r="G10" t="s">
        <v>53</v>
      </c>
      <c r="H10" t="s">
        <v>70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1</v>
      </c>
      <c r="R10" t="b">
        <v>0</v>
      </c>
    </row>
    <row r="11" spans="1:28" x14ac:dyDescent="0.35">
      <c r="A11">
        <v>11</v>
      </c>
      <c r="B11" s="2">
        <v>45682</v>
      </c>
      <c r="C11" t="s">
        <v>71</v>
      </c>
      <c r="D11" t="s">
        <v>55</v>
      </c>
      <c r="E11">
        <v>12336</v>
      </c>
      <c r="F11">
        <f t="shared" ref="F11" si="1">COUNTIF(I11:R11,"TRUE")</f>
        <v>8</v>
      </c>
      <c r="G11" t="s">
        <v>53</v>
      </c>
      <c r="H11" t="s">
        <v>72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0</v>
      </c>
    </row>
    <row r="12" spans="1:28" x14ac:dyDescent="0.35">
      <c r="A12">
        <v>12</v>
      </c>
      <c r="B12" s="2">
        <v>45682</v>
      </c>
      <c r="C12" t="s">
        <v>73</v>
      </c>
      <c r="D12" t="s">
        <v>55</v>
      </c>
      <c r="E12">
        <v>12794</v>
      </c>
      <c r="F12">
        <f t="shared" ref="F12" si="2">COUNTIF(I12:R12,"TRUE")</f>
        <v>9</v>
      </c>
      <c r="G12" t="s">
        <v>53</v>
      </c>
      <c r="H12" t="s">
        <v>74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  <c r="R12" t="b">
        <v>1</v>
      </c>
    </row>
    <row r="13" spans="1:28" x14ac:dyDescent="0.35">
      <c r="A13">
        <v>13</v>
      </c>
      <c r="B13" s="2">
        <v>45684</v>
      </c>
      <c r="C13" t="s">
        <v>75</v>
      </c>
      <c r="D13" t="s">
        <v>55</v>
      </c>
      <c r="E13">
        <v>13893</v>
      </c>
      <c r="F13">
        <v>10</v>
      </c>
      <c r="G13" t="s">
        <v>53</v>
      </c>
      <c r="H13" t="s">
        <v>76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D040-8C1B-456C-B7AE-50AD8B46E076}">
  <dimension ref="A1:D23"/>
  <sheetViews>
    <sheetView tabSelected="1" workbookViewId="0">
      <selection activeCell="A13" sqref="A13:B19"/>
    </sheetView>
  </sheetViews>
  <sheetFormatPr defaultRowHeight="14.5" x14ac:dyDescent="0.35"/>
  <cols>
    <col min="1" max="1" width="41.7265625" bestFit="1" customWidth="1"/>
    <col min="2" max="2" width="10.54296875" bestFit="1" customWidth="1"/>
  </cols>
  <sheetData>
    <row r="1" spans="1:4" x14ac:dyDescent="0.35">
      <c r="A1" t="s">
        <v>91</v>
      </c>
      <c r="B1" t="s">
        <v>92</v>
      </c>
    </row>
    <row r="2" spans="1:4" x14ac:dyDescent="0.35">
      <c r="A2" t="s">
        <v>77</v>
      </c>
      <c r="B2">
        <v>0</v>
      </c>
    </row>
    <row r="3" spans="1:4" x14ac:dyDescent="0.35">
      <c r="A3" t="s">
        <v>93</v>
      </c>
      <c r="B3">
        <v>37938</v>
      </c>
    </row>
    <row r="4" spans="1:4" x14ac:dyDescent="0.35">
      <c r="A4" t="s">
        <v>79</v>
      </c>
      <c r="B4">
        <v>8353</v>
      </c>
    </row>
    <row r="5" spans="1:4" x14ac:dyDescent="0.35">
      <c r="A5" t="s">
        <v>94</v>
      </c>
      <c r="B5" s="4">
        <v>13907</v>
      </c>
      <c r="C5" s="5"/>
      <c r="D5" s="5"/>
    </row>
    <row r="6" spans="1:4" x14ac:dyDescent="0.35">
      <c r="A6" t="s">
        <v>78</v>
      </c>
      <c r="B6" s="5">
        <f>B3-(B4)</f>
        <v>29585</v>
      </c>
      <c r="D6" s="5">
        <f>B6-B5</f>
        <v>15678</v>
      </c>
    </row>
    <row r="7" spans="1:4" x14ac:dyDescent="0.35">
      <c r="A7" t="s">
        <v>80</v>
      </c>
      <c r="B7">
        <v>736</v>
      </c>
      <c r="D7" s="5">
        <f>D6-B7</f>
        <v>14942</v>
      </c>
    </row>
    <row r="8" spans="1:4" x14ac:dyDescent="0.35">
      <c r="A8" t="s">
        <v>81</v>
      </c>
      <c r="B8" s="5">
        <f>B6-B7</f>
        <v>28849</v>
      </c>
      <c r="D8" s="5">
        <f>B8-13087</f>
        <v>15762</v>
      </c>
    </row>
    <row r="9" spans="1:4" x14ac:dyDescent="0.35">
      <c r="A9" t="s">
        <v>82</v>
      </c>
      <c r="B9">
        <f>B7-(B10+B11)</f>
        <v>726</v>
      </c>
    </row>
    <row r="10" spans="1:4" x14ac:dyDescent="0.35">
      <c r="A10" t="s">
        <v>83</v>
      </c>
      <c r="B10">
        <v>6</v>
      </c>
    </row>
    <row r="11" spans="1:4" x14ac:dyDescent="0.35">
      <c r="A11" t="s">
        <v>84</v>
      </c>
      <c r="B11">
        <v>4</v>
      </c>
    </row>
    <row r="12" spans="1:4" x14ac:dyDescent="0.35">
      <c r="A12" t="s">
        <v>85</v>
      </c>
      <c r="B12">
        <v>167</v>
      </c>
    </row>
    <row r="13" spans="1:4" x14ac:dyDescent="0.35">
      <c r="A13" t="s">
        <v>86</v>
      </c>
      <c r="B13">
        <v>4</v>
      </c>
    </row>
    <row r="14" spans="1:4" x14ac:dyDescent="0.35">
      <c r="A14" t="s">
        <v>95</v>
      </c>
      <c r="B14">
        <v>282</v>
      </c>
    </row>
    <row r="15" spans="1:4" x14ac:dyDescent="0.35">
      <c r="A15" t="s">
        <v>96</v>
      </c>
      <c r="B15">
        <v>70</v>
      </c>
    </row>
    <row r="16" spans="1:4" x14ac:dyDescent="0.35">
      <c r="A16" t="s">
        <v>100</v>
      </c>
      <c r="B16">
        <v>79</v>
      </c>
    </row>
    <row r="17" spans="1:2" x14ac:dyDescent="0.35">
      <c r="A17" t="s">
        <v>97</v>
      </c>
      <c r="B17">
        <v>8</v>
      </c>
    </row>
    <row r="18" spans="1:2" x14ac:dyDescent="0.35">
      <c r="A18" t="s">
        <v>98</v>
      </c>
      <c r="B18">
        <v>59</v>
      </c>
    </row>
    <row r="19" spans="1:2" x14ac:dyDescent="0.35">
      <c r="A19" t="s">
        <v>99</v>
      </c>
      <c r="B19">
        <v>47</v>
      </c>
    </row>
    <row r="20" spans="1:2" x14ac:dyDescent="0.35">
      <c r="A20" t="s">
        <v>87</v>
      </c>
      <c r="B20">
        <f>SUM(B13:B19)</f>
        <v>549</v>
      </c>
    </row>
    <row r="21" spans="1:2" x14ac:dyDescent="0.35">
      <c r="A21" t="s">
        <v>88</v>
      </c>
      <c r="B21">
        <f>B9-(B10+B11+B20)</f>
        <v>167</v>
      </c>
    </row>
    <row r="22" spans="1:2" x14ac:dyDescent="0.35">
      <c r="A22" t="s">
        <v>89</v>
      </c>
      <c r="B22">
        <v>167</v>
      </c>
    </row>
    <row r="23" spans="1:2" x14ac:dyDescent="0.35">
      <c r="A23" t="s">
        <v>90</v>
      </c>
      <c r="B23">
        <v>167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 studies</vt:lpstr>
      <vt:lpstr>Search terms</vt:lpstr>
      <vt:lpstr>Roses form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ANTHONY MARTIN</dc:creator>
  <cp:lastModifiedBy>Philip Anthony Martin</cp:lastModifiedBy>
  <dcterms:created xsi:type="dcterms:W3CDTF">2025-01-24T09:14:11Z</dcterms:created>
  <dcterms:modified xsi:type="dcterms:W3CDTF">2026-08-08T16:58:35Z</dcterms:modified>
</cp:coreProperties>
</file>