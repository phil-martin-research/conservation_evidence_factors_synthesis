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Projects\In_progress\conservation_evidence_factors_synthesis\data\"/>
    </mc:Choice>
  </mc:AlternateContent>
  <xr:revisionPtr revIDLastSave="0" documentId="13_ncr:1_{40218CA2-DCD9-404C-B457-478B596B2F3E}" xr6:coauthVersionLast="36" xr6:coauthVersionMax="36" xr10:uidLastSave="{00000000-0000-0000-0000-000000000000}"/>
  <bookViews>
    <workbookView xWindow="0" yWindow="0" windowWidth="28800" windowHeight="9225" xr2:uid="{7F309AF8-E2A1-4706-83DC-ACD387E7F7A8}"/>
  </bookViews>
  <sheets>
    <sheet name="Round 1" sheetId="1" r:id="rId1"/>
    <sheet name="Round 2" sheetId="2" r:id="rId2"/>
    <sheet name="Round 2 detai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3" l="1"/>
  <c r="F17" i="3"/>
</calcChain>
</file>

<file path=xl/sharedStrings.xml><?xml version="1.0" encoding="utf-8"?>
<sst xmlns="http://schemas.openxmlformats.org/spreadsheetml/2006/main" count="73" uniqueCount="32">
  <si>
    <t>Reviewer name</t>
  </si>
  <si>
    <t>Kappa score</t>
  </si>
  <si>
    <t>Matt Grainger</t>
  </si>
  <si>
    <t>Prishnee Bissessur</t>
  </si>
  <si>
    <t>Carlos Barreto</t>
  </si>
  <si>
    <t>Elina Takola</t>
  </si>
  <si>
    <t>Santip1320</t>
  </si>
  <si>
    <t>Catia Matos</t>
  </si>
  <si>
    <t>Aiden Keith</t>
  </si>
  <si>
    <t>Valentin Moser</t>
  </si>
  <si>
    <t>Alice Oswold</t>
  </si>
  <si>
    <t>Amir Mohammadif</t>
  </si>
  <si>
    <t>Bashir Bolaji Tiamiyu</t>
  </si>
  <si>
    <t>To do</t>
  </si>
  <si>
    <t>Proceed with screening</t>
  </si>
  <si>
    <t>Proceed with screening but highlight differences</t>
  </si>
  <si>
    <t>Get them to screen another 50 papers and highlight differences</t>
  </si>
  <si>
    <t>Check first 100 papers</t>
  </si>
  <si>
    <t>Tiff Key</t>
  </si>
  <si>
    <t>Tabitha Taberer</t>
  </si>
  <si>
    <t>Fereshteh Amirmohammadi</t>
  </si>
  <si>
    <t>Sarah Luke</t>
  </si>
  <si>
    <t>Santiago Perea Arroyo</t>
  </si>
  <si>
    <t>James Hartup</t>
  </si>
  <si>
    <t>Person</t>
  </si>
  <si>
    <t>Papers both chose to include</t>
  </si>
  <si>
    <t>Papers both chose to exclude</t>
  </si>
  <si>
    <t>Papers only I included</t>
  </si>
  <si>
    <t>Papers only they included</t>
  </si>
  <si>
    <t>Ian Thornhill</t>
  </si>
  <si>
    <t>Kappa round 1</t>
  </si>
  <si>
    <t>Kappa round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</si>
</sst>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D385-CA1F-4790-AB48-8D393ABE6D75}">
  <dimension ref="A1:C12"/>
  <sheetViews>
    <sheetView tabSelected="1" workbookViewId="0">
      <selection activeCell="B16" sqref="B16"/>
    </sheetView>
  </sheetViews>
  <sheetFormatPr defaultRowHeight="15" x14ac:dyDescent="0.25"/>
  <cols>
    <col min="1" max="1" width="25.28515625" customWidth="1"/>
    <col min="2" max="2" width="11.140625" customWidth="1"/>
  </cols>
  <sheetData>
    <row r="1" spans="1:3" x14ac:dyDescent="0.25">
      <c r="A1" t="s">
        <v>0</v>
      </c>
      <c r="B1" t="s">
        <v>1</v>
      </c>
      <c r="C1" t="s">
        <v>13</v>
      </c>
    </row>
    <row r="2" spans="1:3" x14ac:dyDescent="0.25">
      <c r="A2" t="s">
        <v>2</v>
      </c>
      <c r="B2">
        <v>0.8357</v>
      </c>
      <c r="C2" t="s">
        <v>14</v>
      </c>
    </row>
    <row r="3" spans="1:3" x14ac:dyDescent="0.25">
      <c r="A3" t="s">
        <v>3</v>
      </c>
      <c r="B3">
        <v>0.74580000000000002</v>
      </c>
      <c r="C3" t="s">
        <v>15</v>
      </c>
    </row>
    <row r="4" spans="1:3" x14ac:dyDescent="0.25">
      <c r="A4" t="s">
        <v>4</v>
      </c>
      <c r="B4">
        <v>0.8276</v>
      </c>
      <c r="C4" t="s">
        <v>14</v>
      </c>
    </row>
    <row r="5" spans="1:3" x14ac:dyDescent="0.25">
      <c r="A5" t="s">
        <v>5</v>
      </c>
      <c r="B5">
        <v>0.35</v>
      </c>
      <c r="C5" t="s">
        <v>16</v>
      </c>
    </row>
    <row r="6" spans="1:3" x14ac:dyDescent="0.25">
      <c r="A6" t="s">
        <v>6</v>
      </c>
      <c r="B6">
        <v>0.71379999999999999</v>
      </c>
      <c r="C6" t="s">
        <v>15</v>
      </c>
    </row>
    <row r="7" spans="1:3" x14ac:dyDescent="0.25">
      <c r="A7" t="s">
        <v>7</v>
      </c>
      <c r="B7">
        <v>0.64910000000000001</v>
      </c>
      <c r="C7" t="s">
        <v>15</v>
      </c>
    </row>
    <row r="8" spans="1:3" x14ac:dyDescent="0.25">
      <c r="A8" t="s">
        <v>8</v>
      </c>
      <c r="B8">
        <v>0.83050000000000002</v>
      </c>
      <c r="C8" t="s">
        <v>14</v>
      </c>
    </row>
    <row r="9" spans="1:3" x14ac:dyDescent="0.25">
      <c r="A9" t="s">
        <v>9</v>
      </c>
      <c r="B9">
        <v>0.69569999999999999</v>
      </c>
      <c r="C9" t="s">
        <v>15</v>
      </c>
    </row>
    <row r="10" spans="1:3" x14ac:dyDescent="0.25">
      <c r="A10" t="s">
        <v>10</v>
      </c>
      <c r="B10">
        <v>0.83050000000000002</v>
      </c>
      <c r="C10" t="s">
        <v>14</v>
      </c>
    </row>
    <row r="11" spans="1:3" x14ac:dyDescent="0.25">
      <c r="A11" t="s">
        <v>11</v>
      </c>
      <c r="B11">
        <v>0.6341</v>
      </c>
      <c r="C11" t="s">
        <v>15</v>
      </c>
    </row>
    <row r="12" spans="1:3" x14ac:dyDescent="0.25">
      <c r="A12" t="s">
        <v>12</v>
      </c>
      <c r="B12">
        <v>0.56899999999999995</v>
      </c>
      <c r="C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6392-B1B7-47F1-9A6F-F9CDA76CF387}">
  <dimension ref="A1:D17"/>
  <sheetViews>
    <sheetView workbookViewId="0">
      <selection activeCell="C13" sqref="C13"/>
    </sheetView>
  </sheetViews>
  <sheetFormatPr defaultRowHeight="15" x14ac:dyDescent="0.25"/>
  <cols>
    <col min="1" max="1" width="19.5703125" bestFit="1" customWidth="1"/>
  </cols>
  <sheetData>
    <row r="1" spans="1:4" x14ac:dyDescent="0.25">
      <c r="A1" t="s">
        <v>0</v>
      </c>
      <c r="B1" t="s">
        <v>30</v>
      </c>
      <c r="C1" t="s">
        <v>31</v>
      </c>
      <c r="D1" t="s">
        <v>13</v>
      </c>
    </row>
    <row r="2" spans="1:4" x14ac:dyDescent="0.25">
      <c r="A2" t="s">
        <v>2</v>
      </c>
    </row>
    <row r="3" spans="1:4" x14ac:dyDescent="0.25">
      <c r="A3" t="s">
        <v>3</v>
      </c>
      <c r="B3">
        <v>0.39019999999999999</v>
      </c>
      <c r="D3" t="s">
        <v>17</v>
      </c>
    </row>
    <row r="4" spans="1:4" x14ac:dyDescent="0.25">
      <c r="A4" t="s">
        <v>4</v>
      </c>
      <c r="B4">
        <v>0.37369999999999998</v>
      </c>
      <c r="D4" t="s">
        <v>17</v>
      </c>
    </row>
    <row r="5" spans="1:4" x14ac:dyDescent="0.25">
      <c r="A5" t="s">
        <v>5</v>
      </c>
      <c r="B5">
        <v>0.65749999999999997</v>
      </c>
      <c r="D5" t="s">
        <v>15</v>
      </c>
    </row>
    <row r="6" spans="1:4" x14ac:dyDescent="0.25">
      <c r="A6" t="s">
        <v>22</v>
      </c>
    </row>
    <row r="7" spans="1:4" x14ac:dyDescent="0.25">
      <c r="A7" t="s">
        <v>7</v>
      </c>
    </row>
    <row r="8" spans="1:4" x14ac:dyDescent="0.25">
      <c r="A8" t="s">
        <v>8</v>
      </c>
    </row>
    <row r="9" spans="1:4" x14ac:dyDescent="0.25">
      <c r="A9" t="s">
        <v>9</v>
      </c>
    </row>
    <row r="10" spans="1:4" x14ac:dyDescent="0.25">
      <c r="A10" t="s">
        <v>10</v>
      </c>
      <c r="B10">
        <v>1</v>
      </c>
      <c r="D10" t="s">
        <v>14</v>
      </c>
    </row>
    <row r="11" spans="1:4" x14ac:dyDescent="0.25">
      <c r="A11" t="s">
        <v>11</v>
      </c>
    </row>
    <row r="12" spans="1:4" x14ac:dyDescent="0.25">
      <c r="A12" t="s">
        <v>12</v>
      </c>
    </row>
    <row r="13" spans="1:4" x14ac:dyDescent="0.25">
      <c r="A13" t="s">
        <v>18</v>
      </c>
      <c r="B13">
        <v>0.38519999999999999</v>
      </c>
      <c r="D13" t="s">
        <v>17</v>
      </c>
    </row>
    <row r="14" spans="1:4" x14ac:dyDescent="0.25">
      <c r="A14" t="s">
        <v>19</v>
      </c>
      <c r="B14">
        <v>0.65749999999999997</v>
      </c>
      <c r="D14" t="s">
        <v>15</v>
      </c>
    </row>
    <row r="15" spans="1:4" x14ac:dyDescent="0.25">
      <c r="A15" t="s">
        <v>20</v>
      </c>
    </row>
    <row r="16" spans="1:4" x14ac:dyDescent="0.25">
      <c r="A16" t="s">
        <v>21</v>
      </c>
    </row>
    <row r="17" spans="1:1" x14ac:dyDescent="0.25">
      <c r="A17" t="s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D324-FC2D-4940-9242-FF09A2B65959}">
  <dimension ref="A1:F18"/>
  <sheetViews>
    <sheetView workbookViewId="0">
      <selection activeCell="C3" sqref="C3"/>
    </sheetView>
  </sheetViews>
  <sheetFormatPr defaultRowHeight="15" x14ac:dyDescent="0.25"/>
  <cols>
    <col min="1" max="1" width="26.42578125" bestFit="1" customWidth="1"/>
    <col min="2" max="2" width="27" bestFit="1" customWidth="1"/>
    <col min="3" max="3" width="27.42578125" bestFit="1" customWidth="1"/>
    <col min="4" max="4" width="20.7109375" bestFit="1" customWidth="1"/>
    <col min="5" max="5" width="24.2851562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6" x14ac:dyDescent="0.25">
      <c r="A2" t="s">
        <v>2</v>
      </c>
    </row>
    <row r="3" spans="1:6" x14ac:dyDescent="0.25">
      <c r="A3" t="s">
        <v>3</v>
      </c>
      <c r="B3">
        <v>1</v>
      </c>
      <c r="C3">
        <v>93</v>
      </c>
      <c r="D3">
        <v>3</v>
      </c>
      <c r="E3">
        <v>0</v>
      </c>
    </row>
    <row r="4" spans="1:6" x14ac:dyDescent="0.25">
      <c r="A4" t="s">
        <v>4</v>
      </c>
    </row>
    <row r="5" spans="1:6" x14ac:dyDescent="0.25">
      <c r="A5" t="s">
        <v>5</v>
      </c>
    </row>
    <row r="6" spans="1:6" x14ac:dyDescent="0.25">
      <c r="A6" t="s">
        <v>22</v>
      </c>
    </row>
    <row r="7" spans="1:6" x14ac:dyDescent="0.25">
      <c r="A7" t="s">
        <v>7</v>
      </c>
    </row>
    <row r="8" spans="1:6" x14ac:dyDescent="0.25">
      <c r="A8" t="s">
        <v>8</v>
      </c>
    </row>
    <row r="9" spans="1:6" x14ac:dyDescent="0.25">
      <c r="A9" t="s">
        <v>9</v>
      </c>
    </row>
    <row r="10" spans="1:6" x14ac:dyDescent="0.25">
      <c r="A10" t="s">
        <v>10</v>
      </c>
    </row>
    <row r="11" spans="1:6" x14ac:dyDescent="0.25">
      <c r="A11" t="s">
        <v>11</v>
      </c>
    </row>
    <row r="12" spans="1:6" x14ac:dyDescent="0.25">
      <c r="A12" t="s">
        <v>12</v>
      </c>
    </row>
    <row r="13" spans="1:6" x14ac:dyDescent="0.25">
      <c r="A13" t="s">
        <v>18</v>
      </c>
      <c r="B13">
        <v>1</v>
      </c>
      <c r="C13">
        <v>94</v>
      </c>
      <c r="D13">
        <v>1</v>
      </c>
      <c r="E13">
        <v>1</v>
      </c>
      <c r="F13">
        <f>SUM(B13:E13)</f>
        <v>97</v>
      </c>
    </row>
    <row r="14" spans="1:6" x14ac:dyDescent="0.25">
      <c r="A14" t="s">
        <v>19</v>
      </c>
    </row>
    <row r="15" spans="1:6" x14ac:dyDescent="0.25">
      <c r="A15" t="s">
        <v>20</v>
      </c>
    </row>
    <row r="16" spans="1:6" x14ac:dyDescent="0.25">
      <c r="A16" t="s">
        <v>21</v>
      </c>
    </row>
    <row r="17" spans="1:6" x14ac:dyDescent="0.25">
      <c r="A17" t="s">
        <v>23</v>
      </c>
      <c r="B17">
        <v>3</v>
      </c>
      <c r="C17">
        <v>86</v>
      </c>
      <c r="D17">
        <v>1</v>
      </c>
      <c r="E17">
        <v>8</v>
      </c>
      <c r="F17">
        <f>SUM(B17:E17)</f>
        <v>98</v>
      </c>
    </row>
    <row r="18" spans="1:6" x14ac:dyDescent="0.25">
      <c r="A18" t="s">
        <v>29</v>
      </c>
      <c r="B18">
        <v>1</v>
      </c>
      <c r="C18">
        <v>5</v>
      </c>
      <c r="D18">
        <v>1</v>
      </c>
      <c r="E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 1</vt:lpstr>
      <vt:lpstr>Round 2</vt:lpstr>
      <vt:lpstr>Round 2 detail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ANTHONY MARTIN</dc:creator>
  <cp:lastModifiedBy>PHILIP ANTHONY MARTIN</cp:lastModifiedBy>
  <dcterms:created xsi:type="dcterms:W3CDTF">2025-01-07T14:05:40Z</dcterms:created>
  <dcterms:modified xsi:type="dcterms:W3CDTF">2025-03-14T11:39:19Z</dcterms:modified>
</cp:coreProperties>
</file>