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Projects\In_progress\conservation_evidence_factors_synthesis\data\screening_agreement\"/>
    </mc:Choice>
  </mc:AlternateContent>
  <xr:revisionPtr revIDLastSave="0" documentId="13_ncr:1_{53DDA04C-2DC7-483C-BA3C-3BC629EEF2BF}" xr6:coauthVersionLast="47" xr6:coauthVersionMax="47" xr10:uidLastSave="{00000000-0000-0000-0000-000000000000}"/>
  <bookViews>
    <workbookView xWindow="-110" yWindow="-110" windowWidth="19420" windowHeight="11500" activeTab="1" xr2:uid="{BAEAB964-30E6-45DA-AD2A-F46573CA4E4F}"/>
  </bookViews>
  <sheets>
    <sheet name="abstracts" sheetId="1" r:id="rId1"/>
    <sheet name="full tex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2" l="1"/>
  <c r="H24" i="2"/>
  <c r="G24" i="2"/>
  <c r="F24" i="2"/>
  <c r="F23" i="2"/>
  <c r="G23" i="2"/>
  <c r="H23" i="2"/>
  <c r="I23" i="2" s="1"/>
  <c r="J23" i="2" s="1"/>
  <c r="H22" i="2"/>
  <c r="G22" i="2"/>
  <c r="F22" i="2"/>
  <c r="F21" i="2"/>
  <c r="J21" i="2" s="1"/>
  <c r="G21" i="2"/>
  <c r="H21" i="2"/>
  <c r="I21" i="2"/>
  <c r="H16" i="2"/>
  <c r="G16" i="2"/>
  <c r="F16" i="2"/>
  <c r="H20" i="2"/>
  <c r="G20" i="2"/>
  <c r="F20" i="2"/>
  <c r="H19" i="2"/>
  <c r="G19" i="2"/>
  <c r="F19" i="2"/>
  <c r="H18" i="2"/>
  <c r="G18" i="2"/>
  <c r="F18" i="2"/>
  <c r="H17" i="2"/>
  <c r="G17" i="2"/>
  <c r="F17" i="2"/>
  <c r="F15" i="2"/>
  <c r="G15" i="2"/>
  <c r="I15" i="2" s="1"/>
  <c r="H15" i="2"/>
  <c r="F14" i="2"/>
  <c r="G14" i="2"/>
  <c r="H14" i="2"/>
  <c r="F13" i="2"/>
  <c r="G13" i="2"/>
  <c r="H13" i="2"/>
  <c r="I13" i="2"/>
  <c r="J13" i="2" s="1"/>
  <c r="F12" i="2"/>
  <c r="G12" i="2"/>
  <c r="H12" i="2"/>
  <c r="F11" i="2"/>
  <c r="G11" i="2"/>
  <c r="H11" i="2"/>
  <c r="F10" i="2"/>
  <c r="G10" i="2"/>
  <c r="H10" i="2"/>
  <c r="F9" i="2"/>
  <c r="G9" i="2"/>
  <c r="H9" i="2"/>
  <c r="H8" i="2"/>
  <c r="G8" i="2"/>
  <c r="F8" i="2"/>
  <c r="H7" i="2"/>
  <c r="H6" i="2"/>
  <c r="H5" i="2"/>
  <c r="H4" i="2"/>
  <c r="H3" i="2"/>
  <c r="H2" i="2"/>
  <c r="G7" i="2"/>
  <c r="G6" i="2"/>
  <c r="G5" i="2"/>
  <c r="G4" i="2"/>
  <c r="G3" i="2"/>
  <c r="G2" i="2"/>
  <c r="F7" i="2"/>
  <c r="F6" i="2"/>
  <c r="F5" i="2"/>
  <c r="F4" i="2"/>
  <c r="F3" i="2"/>
  <c r="F2" i="2"/>
  <c r="I24" i="2" l="1"/>
  <c r="J24" i="2" s="1"/>
  <c r="I22" i="2"/>
  <c r="J22" i="2" s="1"/>
  <c r="I17" i="2"/>
  <c r="J17" i="2" s="1"/>
  <c r="I18" i="2"/>
  <c r="J18" i="2" s="1"/>
  <c r="I16" i="2"/>
  <c r="J16" i="2" s="1"/>
  <c r="I9" i="2"/>
  <c r="I4" i="2"/>
  <c r="I8" i="2"/>
  <c r="I6" i="2"/>
  <c r="J6" i="2" s="1"/>
  <c r="I7" i="2"/>
  <c r="I20" i="2"/>
  <c r="J20" i="2" s="1"/>
  <c r="I19" i="2"/>
  <c r="J19" i="2" s="1"/>
  <c r="J15" i="2"/>
  <c r="I14" i="2"/>
  <c r="J14" i="2" s="1"/>
  <c r="J7" i="2"/>
  <c r="I12" i="2"/>
  <c r="J12" i="2" s="1"/>
  <c r="I11" i="2"/>
  <c r="J11" i="2"/>
  <c r="I10" i="2"/>
  <c r="J10" i="2" s="1"/>
  <c r="J9" i="2"/>
  <c r="I5" i="2"/>
  <c r="J5" i="2" s="1"/>
  <c r="J8" i="2"/>
  <c r="J4" i="2"/>
  <c r="I3" i="2"/>
  <c r="J3" i="2" s="1"/>
  <c r="I2" i="2"/>
  <c r="J2" i="2" s="1"/>
</calcChain>
</file>

<file path=xl/sharedStrings.xml><?xml version="1.0" encoding="utf-8"?>
<sst xmlns="http://schemas.openxmlformats.org/spreadsheetml/2006/main" count="160" uniqueCount="67">
  <si>
    <t>Reviewer name</t>
  </si>
  <si>
    <t>To do</t>
  </si>
  <si>
    <t>Kappa_round_1</t>
  </si>
  <si>
    <t>Kappa_round_2</t>
  </si>
  <si>
    <t>Kappa_round_3</t>
  </si>
  <si>
    <t>Aidan</t>
  </si>
  <si>
    <t>Alice</t>
  </si>
  <si>
    <t>Carlos</t>
  </si>
  <si>
    <t>Catia</t>
  </si>
  <si>
    <t>Elina</t>
  </si>
  <si>
    <t>Fereshteh</t>
  </si>
  <si>
    <t>Ian</t>
  </si>
  <si>
    <t>Isa</t>
  </si>
  <si>
    <t>Jamie</t>
  </si>
  <si>
    <t>Matt</t>
  </si>
  <si>
    <t>Prishnee</t>
  </si>
  <si>
    <t>Santiago</t>
  </si>
  <si>
    <t>Sarah</t>
  </si>
  <si>
    <t>Tabitha</t>
  </si>
  <si>
    <t>Tiff</t>
  </si>
  <si>
    <t>Valentin</t>
  </si>
  <si>
    <t>n</t>
  </si>
  <si>
    <t>Finish abstract screening by 19/04</t>
  </si>
  <si>
    <t>Nibu</t>
  </si>
  <si>
    <t>Isobel</t>
  </si>
  <si>
    <t>Screen 100 papers</t>
  </si>
  <si>
    <t>Complete initial screening</t>
  </si>
  <si>
    <t>Tidy up papers that were accepted</t>
  </si>
  <si>
    <t>Screen full texts</t>
  </si>
  <si>
    <t>Finish abstract screening by 31/04</t>
  </si>
  <si>
    <t>Alec</t>
  </si>
  <si>
    <t>Nick</t>
  </si>
  <si>
    <t>Currently working on screening</t>
  </si>
  <si>
    <t>Yes</t>
  </si>
  <si>
    <t>No</t>
  </si>
  <si>
    <t>Iris</t>
  </si>
  <si>
    <t>Eñaut</t>
  </si>
  <si>
    <t>Alvaro</t>
  </si>
  <si>
    <t>Meet with me</t>
  </si>
  <si>
    <t>Screen remaining papers</t>
  </si>
  <si>
    <t>For me to do</t>
  </si>
  <si>
    <t>Check agreement</t>
  </si>
  <si>
    <t>Give instructions for full texts</t>
  </si>
  <si>
    <t>Give feedback</t>
  </si>
  <si>
    <t>Ask what he's doing</t>
  </si>
  <si>
    <t>Wait for completion of abstracts</t>
  </si>
  <si>
    <t>Screen full texts by end of June</t>
  </si>
  <si>
    <t>Full texts to complete by end of month</t>
  </si>
  <si>
    <t>Finish abstract screening</t>
  </si>
  <si>
    <t>Screen 100 more papers</t>
  </si>
  <si>
    <t>Meet to discuss disagreements</t>
  </si>
  <si>
    <t>Both included</t>
  </si>
  <si>
    <t>Both excluded</t>
  </si>
  <si>
    <t>Only Phil included</t>
  </si>
  <si>
    <t>Only user included</t>
  </si>
  <si>
    <t>User</t>
  </si>
  <si>
    <t>Cohen's kappa</t>
  </si>
  <si>
    <t>po</t>
  </si>
  <si>
    <t>pe</t>
  </si>
  <si>
    <t>p(yes)</t>
  </si>
  <si>
    <t>p(No)</t>
  </si>
  <si>
    <t>Aiden</t>
  </si>
  <si>
    <t>Round</t>
  </si>
  <si>
    <t>Round 1</t>
  </si>
  <si>
    <t>Round 2</t>
  </si>
  <si>
    <t>Round 3</t>
  </si>
  <si>
    <t>mean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</si>
</sst>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13FE-D749-46EE-B0DE-3497415C3136}">
  <dimension ref="A1:J24"/>
  <sheetViews>
    <sheetView workbookViewId="0">
      <selection activeCell="A25" sqref="A25"/>
    </sheetView>
  </sheetViews>
  <sheetFormatPr defaultRowHeight="14.5" x14ac:dyDescent="0.35"/>
  <cols>
    <col min="1" max="1" width="15" bestFit="1" customWidth="1"/>
    <col min="2" max="2" width="14.81640625" bestFit="1" customWidth="1"/>
    <col min="3" max="3" width="14.81640625" customWidth="1"/>
    <col min="4" max="4" width="14.81640625" bestFit="1" customWidth="1"/>
    <col min="5" max="5" width="14.81640625" customWidth="1"/>
    <col min="6" max="6" width="14.81640625" bestFit="1" customWidth="1"/>
    <col min="7" max="7" width="14.81640625" customWidth="1"/>
    <col min="8" max="8" width="32" bestFit="1" customWidth="1"/>
    <col min="9" max="9" width="29.1796875" bestFit="1" customWidth="1"/>
  </cols>
  <sheetData>
    <row r="1" spans="1:10" x14ac:dyDescent="0.35">
      <c r="A1" t="s">
        <v>0</v>
      </c>
      <c r="B1" t="s">
        <v>2</v>
      </c>
      <c r="C1" t="s">
        <v>21</v>
      </c>
      <c r="D1" t="s">
        <v>3</v>
      </c>
      <c r="E1" t="s">
        <v>21</v>
      </c>
      <c r="F1" t="s">
        <v>4</v>
      </c>
      <c r="G1" t="s">
        <v>21</v>
      </c>
      <c r="H1" t="s">
        <v>1</v>
      </c>
      <c r="I1" t="s">
        <v>32</v>
      </c>
      <c r="J1" t="s">
        <v>40</v>
      </c>
    </row>
    <row r="2" spans="1:10" x14ac:dyDescent="0.35">
      <c r="A2" t="s">
        <v>5</v>
      </c>
      <c r="B2">
        <v>0.32800000000000001</v>
      </c>
      <c r="C2">
        <v>97</v>
      </c>
      <c r="H2" t="s">
        <v>25</v>
      </c>
      <c r="I2" t="s">
        <v>34</v>
      </c>
      <c r="J2" t="s">
        <v>41</v>
      </c>
    </row>
    <row r="3" spans="1:10" x14ac:dyDescent="0.35">
      <c r="A3" t="s">
        <v>6</v>
      </c>
      <c r="B3">
        <v>1</v>
      </c>
      <c r="C3">
        <v>97</v>
      </c>
      <c r="H3" t="s">
        <v>28</v>
      </c>
      <c r="I3" t="s">
        <v>33</v>
      </c>
      <c r="J3" t="s">
        <v>42</v>
      </c>
    </row>
    <row r="4" spans="1:10" x14ac:dyDescent="0.35">
      <c r="A4" t="s">
        <v>7</v>
      </c>
      <c r="B4">
        <v>0.32800000000000001</v>
      </c>
      <c r="C4">
        <v>97</v>
      </c>
      <c r="D4">
        <v>0.503</v>
      </c>
      <c r="E4">
        <v>105</v>
      </c>
      <c r="H4" t="s">
        <v>25</v>
      </c>
      <c r="I4" t="s">
        <v>33</v>
      </c>
      <c r="J4" t="s">
        <v>42</v>
      </c>
    </row>
    <row r="5" spans="1:10" x14ac:dyDescent="0.35">
      <c r="A5" t="s">
        <v>8</v>
      </c>
      <c r="B5">
        <v>0.26600000000000001</v>
      </c>
      <c r="C5">
        <v>97</v>
      </c>
      <c r="D5">
        <v>0.62980000000000003</v>
      </c>
      <c r="E5">
        <v>100</v>
      </c>
      <c r="H5" t="s">
        <v>28</v>
      </c>
      <c r="I5" t="s">
        <v>33</v>
      </c>
      <c r="J5" t="s">
        <v>42</v>
      </c>
    </row>
    <row r="6" spans="1:10" x14ac:dyDescent="0.35">
      <c r="A6" t="s">
        <v>9</v>
      </c>
      <c r="B6">
        <v>0.65700000000000003</v>
      </c>
      <c r="C6">
        <v>97</v>
      </c>
      <c r="H6" t="s">
        <v>28</v>
      </c>
      <c r="I6" t="s">
        <v>33</v>
      </c>
      <c r="J6" t="s">
        <v>42</v>
      </c>
    </row>
    <row r="7" spans="1:10" x14ac:dyDescent="0.35">
      <c r="A7" t="s">
        <v>10</v>
      </c>
      <c r="B7">
        <v>0.36099999999999999</v>
      </c>
      <c r="C7">
        <v>90</v>
      </c>
      <c r="H7" t="s">
        <v>25</v>
      </c>
      <c r="I7" t="s">
        <v>34</v>
      </c>
      <c r="J7" t="s">
        <v>41</v>
      </c>
    </row>
    <row r="8" spans="1:10" x14ac:dyDescent="0.35">
      <c r="A8" t="s">
        <v>11</v>
      </c>
      <c r="B8">
        <v>0.218</v>
      </c>
      <c r="C8">
        <v>61</v>
      </c>
      <c r="D8">
        <v>0.19</v>
      </c>
      <c r="E8">
        <v>100</v>
      </c>
      <c r="H8" t="s">
        <v>25</v>
      </c>
      <c r="I8" t="s">
        <v>34</v>
      </c>
      <c r="J8" t="s">
        <v>43</v>
      </c>
    </row>
    <row r="9" spans="1:10" x14ac:dyDescent="0.35">
      <c r="A9" t="s">
        <v>12</v>
      </c>
      <c r="B9">
        <v>0.29099999999999998</v>
      </c>
      <c r="H9" t="s">
        <v>26</v>
      </c>
      <c r="I9" t="s">
        <v>33</v>
      </c>
      <c r="J9" t="s">
        <v>41</v>
      </c>
    </row>
    <row r="10" spans="1:10" x14ac:dyDescent="0.35">
      <c r="A10" t="s">
        <v>13</v>
      </c>
      <c r="B10">
        <v>0.36099999999999999</v>
      </c>
      <c r="C10">
        <v>97</v>
      </c>
      <c r="D10">
        <v>0.64900000000000002</v>
      </c>
      <c r="E10">
        <v>100</v>
      </c>
      <c r="H10" t="s">
        <v>25</v>
      </c>
      <c r="I10" t="s">
        <v>34</v>
      </c>
      <c r="J10" t="s">
        <v>46</v>
      </c>
    </row>
    <row r="11" spans="1:10" x14ac:dyDescent="0.35">
      <c r="A11" t="s">
        <v>14</v>
      </c>
      <c r="B11">
        <v>0.85199999999999998</v>
      </c>
      <c r="C11">
        <v>97</v>
      </c>
      <c r="H11" t="s">
        <v>22</v>
      </c>
      <c r="I11" t="s">
        <v>34</v>
      </c>
      <c r="J11" t="s">
        <v>44</v>
      </c>
    </row>
    <row r="12" spans="1:10" x14ac:dyDescent="0.35">
      <c r="A12" t="s">
        <v>15</v>
      </c>
      <c r="B12">
        <v>0.39</v>
      </c>
      <c r="C12">
        <v>97</v>
      </c>
      <c r="D12">
        <v>0.35099999999999998</v>
      </c>
      <c r="E12">
        <v>157</v>
      </c>
      <c r="F12">
        <v>1</v>
      </c>
      <c r="G12">
        <v>157</v>
      </c>
      <c r="H12" t="s">
        <v>27</v>
      </c>
      <c r="I12" t="s">
        <v>33</v>
      </c>
      <c r="J12" t="s">
        <v>27</v>
      </c>
    </row>
    <row r="13" spans="1:10" x14ac:dyDescent="0.35">
      <c r="A13" t="s">
        <v>16</v>
      </c>
      <c r="B13">
        <v>0.48</v>
      </c>
      <c r="C13">
        <v>50</v>
      </c>
      <c r="D13">
        <v>0.253</v>
      </c>
      <c r="E13">
        <v>121</v>
      </c>
      <c r="F13">
        <v>0.40400000000000003</v>
      </c>
      <c r="G13">
        <v>134</v>
      </c>
      <c r="H13" t="s">
        <v>49</v>
      </c>
      <c r="I13" t="s">
        <v>34</v>
      </c>
      <c r="J13" t="s">
        <v>50</v>
      </c>
    </row>
    <row r="14" spans="1:10" x14ac:dyDescent="0.35">
      <c r="A14" t="s">
        <v>17</v>
      </c>
      <c r="B14">
        <v>0.39300000000000002</v>
      </c>
      <c r="C14">
        <v>80</v>
      </c>
      <c r="D14">
        <v>0.61899999999999999</v>
      </c>
      <c r="E14">
        <v>101</v>
      </c>
      <c r="H14" t="s">
        <v>29</v>
      </c>
      <c r="I14" t="s">
        <v>33</v>
      </c>
      <c r="J14" t="s">
        <v>47</v>
      </c>
    </row>
    <row r="15" spans="1:10" x14ac:dyDescent="0.35">
      <c r="A15" t="s">
        <v>18</v>
      </c>
      <c r="B15">
        <v>0.65100000000000002</v>
      </c>
      <c r="C15">
        <v>97</v>
      </c>
      <c r="H15" t="s">
        <v>25</v>
      </c>
      <c r="I15" t="s">
        <v>33</v>
      </c>
      <c r="J15" t="s">
        <v>42</v>
      </c>
    </row>
    <row r="16" spans="1:10" x14ac:dyDescent="0.35">
      <c r="A16" t="s">
        <v>19</v>
      </c>
      <c r="B16">
        <v>0.314</v>
      </c>
      <c r="C16">
        <v>97</v>
      </c>
      <c r="D16">
        <v>0.82599999999999996</v>
      </c>
      <c r="E16">
        <v>141</v>
      </c>
      <c r="H16" t="s">
        <v>22</v>
      </c>
      <c r="I16" t="s">
        <v>33</v>
      </c>
      <c r="J16" t="s">
        <v>42</v>
      </c>
    </row>
    <row r="17" spans="1:10" x14ac:dyDescent="0.35">
      <c r="A17" t="s">
        <v>20</v>
      </c>
      <c r="B17">
        <v>0.57799999999999996</v>
      </c>
      <c r="C17">
        <v>97</v>
      </c>
      <c r="D17">
        <v>0.64800000000000002</v>
      </c>
      <c r="E17">
        <v>108</v>
      </c>
      <c r="H17" t="s">
        <v>29</v>
      </c>
      <c r="I17" t="s">
        <v>33</v>
      </c>
      <c r="J17" t="s">
        <v>42</v>
      </c>
    </row>
    <row r="18" spans="1:10" x14ac:dyDescent="0.35">
      <c r="A18" t="s">
        <v>23</v>
      </c>
      <c r="B18">
        <v>0.32200000000000001</v>
      </c>
      <c r="C18">
        <v>97</v>
      </c>
      <c r="D18">
        <v>0.66</v>
      </c>
      <c r="E18">
        <v>126</v>
      </c>
      <c r="H18" t="s">
        <v>48</v>
      </c>
      <c r="I18" t="s">
        <v>34</v>
      </c>
      <c r="J18" t="s">
        <v>41</v>
      </c>
    </row>
    <row r="19" spans="1:10" x14ac:dyDescent="0.35">
      <c r="A19" t="s">
        <v>24</v>
      </c>
      <c r="B19">
        <v>0.90400000000000003</v>
      </c>
      <c r="C19">
        <v>97</v>
      </c>
      <c r="H19" t="s">
        <v>28</v>
      </c>
      <c r="I19" t="s">
        <v>33</v>
      </c>
      <c r="J19" t="s">
        <v>42</v>
      </c>
    </row>
    <row r="20" spans="1:10" x14ac:dyDescent="0.35">
      <c r="A20" t="s">
        <v>30</v>
      </c>
      <c r="B20">
        <v>0.65100000000000002</v>
      </c>
      <c r="C20">
        <v>97</v>
      </c>
      <c r="H20" t="s">
        <v>28</v>
      </c>
      <c r="I20" t="s">
        <v>33</v>
      </c>
      <c r="J20" t="s">
        <v>42</v>
      </c>
    </row>
    <row r="21" spans="1:10" x14ac:dyDescent="0.35">
      <c r="A21" t="s">
        <v>31</v>
      </c>
      <c r="B21">
        <v>0.54100000000000004</v>
      </c>
      <c r="C21">
        <v>97</v>
      </c>
      <c r="D21">
        <v>0.50900000000000001</v>
      </c>
      <c r="E21">
        <v>101</v>
      </c>
      <c r="F21">
        <v>0.63200000000000001</v>
      </c>
      <c r="G21">
        <v>108</v>
      </c>
      <c r="H21" t="s">
        <v>28</v>
      </c>
      <c r="I21" t="s">
        <v>33</v>
      </c>
      <c r="J21" t="s">
        <v>41</v>
      </c>
    </row>
    <row r="22" spans="1:10" x14ac:dyDescent="0.35">
      <c r="A22" t="s">
        <v>35</v>
      </c>
      <c r="B22">
        <v>0.74</v>
      </c>
      <c r="C22">
        <v>97</v>
      </c>
      <c r="D22">
        <v>0.47099999999999997</v>
      </c>
      <c r="E22">
        <v>91</v>
      </c>
      <c r="H22" t="s">
        <v>38</v>
      </c>
      <c r="I22" t="s">
        <v>34</v>
      </c>
      <c r="J22" t="s">
        <v>42</v>
      </c>
    </row>
    <row r="23" spans="1:10" x14ac:dyDescent="0.35">
      <c r="A23" t="s">
        <v>36</v>
      </c>
      <c r="B23">
        <v>0.51800000000000002</v>
      </c>
      <c r="C23">
        <v>97</v>
      </c>
      <c r="D23">
        <v>0.68700000000000006</v>
      </c>
      <c r="E23">
        <v>100</v>
      </c>
      <c r="H23" t="s">
        <v>39</v>
      </c>
      <c r="I23" t="s">
        <v>33</v>
      </c>
      <c r="J23" t="s">
        <v>45</v>
      </c>
    </row>
    <row r="24" spans="1:10" x14ac:dyDescent="0.35">
      <c r="A24" t="s">
        <v>37</v>
      </c>
      <c r="B24">
        <v>0.38800000000000001</v>
      </c>
      <c r="C24">
        <v>97</v>
      </c>
      <c r="D24">
        <v>0.38</v>
      </c>
      <c r="E24">
        <v>101</v>
      </c>
      <c r="H24" t="s">
        <v>25</v>
      </c>
      <c r="I24" t="s">
        <v>33</v>
      </c>
      <c r="J24" t="s">
        <v>41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3D87-F8AB-4555-8F8D-B54A1CCDF3DC}">
  <dimension ref="A1:M24"/>
  <sheetViews>
    <sheetView tabSelected="1" workbookViewId="0">
      <selection activeCell="M3" sqref="M3"/>
    </sheetView>
  </sheetViews>
  <sheetFormatPr defaultRowHeight="14.5" x14ac:dyDescent="0.35"/>
  <cols>
    <col min="1" max="1" width="20.26953125" customWidth="1"/>
    <col min="2" max="2" width="12.26953125" bestFit="1" customWidth="1"/>
    <col min="3" max="3" width="12.54296875" bestFit="1" customWidth="1"/>
    <col min="4" max="4" width="15.7265625" bestFit="1" customWidth="1"/>
    <col min="5" max="5" width="16.453125" bestFit="1" customWidth="1"/>
  </cols>
  <sheetData>
    <row r="1" spans="1:13" x14ac:dyDescent="0.35">
      <c r="A1" t="s">
        <v>55</v>
      </c>
      <c r="B1" t="s">
        <v>51</v>
      </c>
      <c r="C1" t="s">
        <v>52</v>
      </c>
      <c r="D1" t="s">
        <v>53</v>
      </c>
      <c r="E1" t="s">
        <v>54</v>
      </c>
      <c r="F1" t="s">
        <v>57</v>
      </c>
      <c r="G1" t="s">
        <v>59</v>
      </c>
      <c r="H1" t="s">
        <v>60</v>
      </c>
      <c r="I1" t="s">
        <v>58</v>
      </c>
      <c r="J1" t="s">
        <v>56</v>
      </c>
      <c r="K1" t="s">
        <v>62</v>
      </c>
      <c r="M1" t="s">
        <v>66</v>
      </c>
    </row>
    <row r="2" spans="1:13" x14ac:dyDescent="0.35">
      <c r="A2" t="s">
        <v>6</v>
      </c>
      <c r="B2">
        <v>6</v>
      </c>
      <c r="C2">
        <v>3</v>
      </c>
      <c r="D2">
        <v>1</v>
      </c>
      <c r="E2">
        <v>0</v>
      </c>
      <c r="F2">
        <f>(B2+C2)/SUM(B2:E2)</f>
        <v>0.9</v>
      </c>
      <c r="G2">
        <f>((B2+D2)/SUM(B2:E2))*((B2+E2)/SUM(B2:E2))</f>
        <v>0.42</v>
      </c>
      <c r="H2">
        <f>((C2+E2)/SUM(B2:E2))*((C2+D2)/SUM(B2:E2))</f>
        <v>0.12</v>
      </c>
      <c r="I2">
        <f>G2+H2</f>
        <v>0.54</v>
      </c>
      <c r="J2">
        <f>(F2-I2)/(1-I2)</f>
        <v>0.78260869565217395</v>
      </c>
      <c r="K2" t="s">
        <v>63</v>
      </c>
      <c r="M2">
        <f>AVERAGE(J2,J3,J7,J12,J14,J15,J16,J17,J18,J19,J20,J22,J24)</f>
        <v>0.71004728612544155</v>
      </c>
    </row>
    <row r="3" spans="1:13" x14ac:dyDescent="0.35">
      <c r="A3" t="s">
        <v>7</v>
      </c>
      <c r="B3">
        <v>5</v>
      </c>
      <c r="C3">
        <v>4</v>
      </c>
      <c r="D3">
        <v>1</v>
      </c>
      <c r="E3">
        <v>0</v>
      </c>
      <c r="F3">
        <f t="shared" ref="F3:F7" si="0">(B3+C3)/SUM(B3:E3)</f>
        <v>0.9</v>
      </c>
      <c r="G3">
        <f t="shared" ref="G3:G7" si="1">((B3+D3)/SUM(B3:E3))*((B3+E3)/SUM(B3:E3))</f>
        <v>0.3</v>
      </c>
      <c r="H3">
        <f t="shared" ref="H3:H7" si="2">((C3+E3)/SUM(B3:E3))*((C3+D3)/SUM(B3:E3))</f>
        <v>0.2</v>
      </c>
      <c r="I3">
        <f t="shared" ref="I3:I7" si="3">G3+H3</f>
        <v>0.5</v>
      </c>
      <c r="J3">
        <f t="shared" ref="J3:J7" si="4">(F3-I3)/(1-I3)</f>
        <v>0.8</v>
      </c>
      <c r="K3" t="s">
        <v>63</v>
      </c>
    </row>
    <row r="4" spans="1:13" x14ac:dyDescent="0.35">
      <c r="A4" t="s">
        <v>10</v>
      </c>
      <c r="B4">
        <v>0</v>
      </c>
      <c r="C4">
        <v>1</v>
      </c>
      <c r="D4">
        <v>3</v>
      </c>
      <c r="E4">
        <v>2</v>
      </c>
      <c r="F4">
        <f t="shared" si="0"/>
        <v>0.16666666666666666</v>
      </c>
      <c r="G4">
        <f t="shared" si="1"/>
        <v>0.16666666666666666</v>
      </c>
      <c r="H4">
        <f t="shared" si="2"/>
        <v>0.33333333333333331</v>
      </c>
      <c r="I4">
        <f t="shared" si="3"/>
        <v>0.5</v>
      </c>
      <c r="J4">
        <f t="shared" si="4"/>
        <v>-0.66666666666666674</v>
      </c>
      <c r="K4" t="s">
        <v>63</v>
      </c>
    </row>
    <row r="5" spans="1:13" x14ac:dyDescent="0.35">
      <c r="A5" t="s">
        <v>24</v>
      </c>
      <c r="B5">
        <v>6</v>
      </c>
      <c r="C5">
        <v>0</v>
      </c>
      <c r="D5">
        <v>0</v>
      </c>
      <c r="E5">
        <v>4</v>
      </c>
      <c r="F5">
        <f t="shared" si="0"/>
        <v>0.6</v>
      </c>
      <c r="G5">
        <f t="shared" si="1"/>
        <v>0.6</v>
      </c>
      <c r="H5">
        <f t="shared" si="2"/>
        <v>0</v>
      </c>
      <c r="I5">
        <f t="shared" si="3"/>
        <v>0.6</v>
      </c>
      <c r="J5">
        <f t="shared" si="4"/>
        <v>0</v>
      </c>
      <c r="K5" t="s">
        <v>63</v>
      </c>
    </row>
    <row r="6" spans="1:13" x14ac:dyDescent="0.35">
      <c r="A6" t="s">
        <v>15</v>
      </c>
      <c r="B6">
        <v>5</v>
      </c>
      <c r="C6">
        <v>2</v>
      </c>
      <c r="D6">
        <v>3</v>
      </c>
      <c r="E6">
        <v>0</v>
      </c>
      <c r="F6">
        <f t="shared" si="0"/>
        <v>0.7</v>
      </c>
      <c r="G6">
        <f t="shared" si="1"/>
        <v>0.4</v>
      </c>
      <c r="H6">
        <f t="shared" si="2"/>
        <v>0.1</v>
      </c>
      <c r="I6">
        <f t="shared" si="3"/>
        <v>0.5</v>
      </c>
      <c r="J6">
        <f t="shared" si="4"/>
        <v>0.39999999999999991</v>
      </c>
      <c r="K6" t="s">
        <v>63</v>
      </c>
    </row>
    <row r="7" spans="1:13" x14ac:dyDescent="0.35">
      <c r="A7" t="s">
        <v>17</v>
      </c>
      <c r="B7">
        <v>5</v>
      </c>
      <c r="C7">
        <v>4</v>
      </c>
      <c r="D7">
        <v>1</v>
      </c>
      <c r="E7">
        <v>0</v>
      </c>
      <c r="F7">
        <f t="shared" si="0"/>
        <v>0.9</v>
      </c>
      <c r="G7">
        <f t="shared" si="1"/>
        <v>0.3</v>
      </c>
      <c r="H7">
        <f t="shared" si="2"/>
        <v>0.2</v>
      </c>
      <c r="I7">
        <f t="shared" si="3"/>
        <v>0.5</v>
      </c>
      <c r="J7">
        <f t="shared" si="4"/>
        <v>0.8</v>
      </c>
      <c r="K7" t="s">
        <v>63</v>
      </c>
    </row>
    <row r="8" spans="1:13" x14ac:dyDescent="0.35">
      <c r="A8" t="s">
        <v>61</v>
      </c>
      <c r="B8">
        <v>6</v>
      </c>
      <c r="C8">
        <v>2</v>
      </c>
      <c r="D8">
        <v>0</v>
      </c>
      <c r="E8">
        <v>2</v>
      </c>
      <c r="F8">
        <f t="shared" ref="F8:F15" si="5">(B8+C8)/SUM(B8:E8)</f>
        <v>0.8</v>
      </c>
      <c r="G8">
        <f t="shared" ref="G8:G15" si="6">((B8+D8)/SUM(B8:E8))*((B8+E8)/SUM(B8:E8))</f>
        <v>0.48</v>
      </c>
      <c r="H8">
        <f t="shared" ref="H8:H15" si="7">((C8+E8)/SUM(B8:E8))*((C8+D8)/SUM(B8:E8))</f>
        <v>8.0000000000000016E-2</v>
      </c>
      <c r="I8">
        <f t="shared" ref="I8:I15" si="8">G8+H8</f>
        <v>0.56000000000000005</v>
      </c>
      <c r="J8">
        <f t="shared" ref="J8:J15" si="9">(F8-I8)/(1-I8)</f>
        <v>0.54545454545454553</v>
      </c>
      <c r="K8" t="s">
        <v>63</v>
      </c>
    </row>
    <row r="9" spans="1:13" x14ac:dyDescent="0.35">
      <c r="A9" t="s">
        <v>23</v>
      </c>
      <c r="B9">
        <v>5</v>
      </c>
      <c r="C9">
        <v>2</v>
      </c>
      <c r="D9">
        <v>1</v>
      </c>
      <c r="E9">
        <v>2</v>
      </c>
      <c r="F9">
        <f t="shared" si="5"/>
        <v>0.7</v>
      </c>
      <c r="G9">
        <f t="shared" si="6"/>
        <v>0.42</v>
      </c>
      <c r="H9">
        <f t="shared" si="7"/>
        <v>0.12</v>
      </c>
      <c r="I9">
        <f t="shared" si="8"/>
        <v>0.54</v>
      </c>
      <c r="J9">
        <f t="shared" si="9"/>
        <v>0.34782608695652162</v>
      </c>
      <c r="K9" t="s">
        <v>63</v>
      </c>
    </row>
    <row r="10" spans="1:13" x14ac:dyDescent="0.35">
      <c r="A10" t="s">
        <v>18</v>
      </c>
      <c r="B10">
        <v>5</v>
      </c>
      <c r="C10">
        <v>3</v>
      </c>
      <c r="D10">
        <v>1</v>
      </c>
      <c r="E10">
        <v>1</v>
      </c>
      <c r="F10">
        <f t="shared" si="5"/>
        <v>0.8</v>
      </c>
      <c r="G10">
        <f t="shared" si="6"/>
        <v>0.36</v>
      </c>
      <c r="H10">
        <f t="shared" si="7"/>
        <v>0.16000000000000003</v>
      </c>
      <c r="I10">
        <f t="shared" si="8"/>
        <v>0.52</v>
      </c>
      <c r="J10">
        <f t="shared" si="9"/>
        <v>0.58333333333333337</v>
      </c>
      <c r="K10" t="s">
        <v>63</v>
      </c>
    </row>
    <row r="11" spans="1:13" x14ac:dyDescent="0.35">
      <c r="A11" t="s">
        <v>20</v>
      </c>
      <c r="B11">
        <v>4</v>
      </c>
      <c r="C11">
        <v>3</v>
      </c>
      <c r="D11">
        <v>1</v>
      </c>
      <c r="E11">
        <v>2</v>
      </c>
      <c r="F11">
        <f t="shared" si="5"/>
        <v>0.7</v>
      </c>
      <c r="G11">
        <f t="shared" si="6"/>
        <v>0.3</v>
      </c>
      <c r="H11">
        <f t="shared" si="7"/>
        <v>0.2</v>
      </c>
      <c r="I11">
        <f t="shared" si="8"/>
        <v>0.5</v>
      </c>
      <c r="J11">
        <f t="shared" si="9"/>
        <v>0.39999999999999991</v>
      </c>
      <c r="K11" t="s">
        <v>63</v>
      </c>
    </row>
    <row r="12" spans="1:13" x14ac:dyDescent="0.35">
      <c r="A12" t="s">
        <v>30</v>
      </c>
      <c r="B12">
        <v>6</v>
      </c>
      <c r="C12">
        <v>3</v>
      </c>
      <c r="D12">
        <v>0</v>
      </c>
      <c r="E12">
        <v>1</v>
      </c>
      <c r="F12">
        <f t="shared" si="5"/>
        <v>0.9</v>
      </c>
      <c r="G12">
        <f t="shared" si="6"/>
        <v>0.42</v>
      </c>
      <c r="H12">
        <f t="shared" si="7"/>
        <v>0.12</v>
      </c>
      <c r="I12">
        <f t="shared" si="8"/>
        <v>0.54</v>
      </c>
      <c r="J12">
        <f t="shared" si="9"/>
        <v>0.78260869565217395</v>
      </c>
      <c r="K12" t="s">
        <v>63</v>
      </c>
    </row>
    <row r="13" spans="1:13" x14ac:dyDescent="0.35">
      <c r="A13" t="s">
        <v>19</v>
      </c>
      <c r="B13">
        <v>5</v>
      </c>
      <c r="C13">
        <v>1</v>
      </c>
      <c r="D13">
        <v>2</v>
      </c>
      <c r="E13">
        <v>2</v>
      </c>
      <c r="F13">
        <f t="shared" si="5"/>
        <v>0.6</v>
      </c>
      <c r="G13">
        <f t="shared" si="6"/>
        <v>0.48999999999999994</v>
      </c>
      <c r="H13">
        <f t="shared" si="7"/>
        <v>0.09</v>
      </c>
      <c r="I13">
        <f t="shared" si="8"/>
        <v>0.57999999999999996</v>
      </c>
      <c r="J13">
        <f t="shared" si="9"/>
        <v>4.7619047619047658E-2</v>
      </c>
      <c r="K13" t="s">
        <v>63</v>
      </c>
    </row>
    <row r="14" spans="1:13" x14ac:dyDescent="0.35">
      <c r="A14" t="s">
        <v>9</v>
      </c>
      <c r="B14">
        <v>6</v>
      </c>
      <c r="C14">
        <v>3</v>
      </c>
      <c r="D14">
        <v>0</v>
      </c>
      <c r="E14">
        <v>1</v>
      </c>
      <c r="F14">
        <f t="shared" si="5"/>
        <v>0.9</v>
      </c>
      <c r="G14">
        <f t="shared" si="6"/>
        <v>0.42</v>
      </c>
      <c r="H14">
        <f t="shared" si="7"/>
        <v>0.12</v>
      </c>
      <c r="I14">
        <f t="shared" si="8"/>
        <v>0.54</v>
      </c>
      <c r="J14">
        <f t="shared" si="9"/>
        <v>0.78260869565217395</v>
      </c>
      <c r="K14" t="s">
        <v>63</v>
      </c>
    </row>
    <row r="15" spans="1:13" x14ac:dyDescent="0.35">
      <c r="A15" t="s">
        <v>14</v>
      </c>
      <c r="B15">
        <v>7</v>
      </c>
      <c r="C15">
        <v>2</v>
      </c>
      <c r="D15">
        <v>1</v>
      </c>
      <c r="E15">
        <v>0</v>
      </c>
      <c r="F15">
        <f t="shared" si="5"/>
        <v>0.9</v>
      </c>
      <c r="G15">
        <f t="shared" si="6"/>
        <v>0.55999999999999994</v>
      </c>
      <c r="H15">
        <f t="shared" si="7"/>
        <v>0.06</v>
      </c>
      <c r="I15">
        <f t="shared" si="8"/>
        <v>0.61999999999999988</v>
      </c>
      <c r="J15">
        <f t="shared" si="9"/>
        <v>0.73684210526315808</v>
      </c>
      <c r="K15" t="s">
        <v>63</v>
      </c>
    </row>
    <row r="16" spans="1:13" x14ac:dyDescent="0.35">
      <c r="A16" t="s">
        <v>35</v>
      </c>
      <c r="B16">
        <v>7</v>
      </c>
      <c r="C16">
        <v>2</v>
      </c>
      <c r="D16">
        <v>1</v>
      </c>
      <c r="E16">
        <v>0</v>
      </c>
      <c r="F16">
        <f t="shared" ref="F16" si="10">(B16+C16)/SUM(B16:E16)</f>
        <v>0.9</v>
      </c>
      <c r="G16">
        <f t="shared" ref="G16" si="11">((B16+D16)/SUM(B16:E16))*((B16+E16)/SUM(B16:E16))</f>
        <v>0.55999999999999994</v>
      </c>
      <c r="H16">
        <f t="shared" ref="H16" si="12">((C16+E16)/SUM(B16:E16))*((C16+D16)/SUM(B16:E16))</f>
        <v>0.06</v>
      </c>
      <c r="I16">
        <f t="shared" ref="I16" si="13">G16+H16</f>
        <v>0.61999999999999988</v>
      </c>
      <c r="J16">
        <f t="shared" ref="J16" si="14">(F16-I16)/(1-I16)</f>
        <v>0.73684210526315808</v>
      </c>
      <c r="K16" t="s">
        <v>63</v>
      </c>
    </row>
    <row r="17" spans="1:11" x14ac:dyDescent="0.35">
      <c r="A17" t="s">
        <v>5</v>
      </c>
      <c r="B17">
        <v>5</v>
      </c>
      <c r="C17">
        <v>3</v>
      </c>
      <c r="D17">
        <v>1</v>
      </c>
      <c r="E17">
        <v>1</v>
      </c>
      <c r="F17">
        <f t="shared" ref="F17:F23" si="15">(B17+C17)/SUM(B17:E17)</f>
        <v>0.8</v>
      </c>
      <c r="G17">
        <f t="shared" ref="G17:G23" si="16">((B17+D17)/SUM(B17:E17))*((B17+E17)/SUM(B17:E17))</f>
        <v>0.36</v>
      </c>
      <c r="H17">
        <f t="shared" ref="H17:H23" si="17">((C17+E17)/SUM(B17:E17))*((C17+D17)/SUM(B17:E17))</f>
        <v>0.16000000000000003</v>
      </c>
      <c r="I17">
        <f t="shared" ref="I17:I23" si="18">G17+H17</f>
        <v>0.52</v>
      </c>
      <c r="J17">
        <f t="shared" ref="J17:J23" si="19">(F17-I17)/(1-I17)</f>
        <v>0.58333333333333337</v>
      </c>
      <c r="K17" t="s">
        <v>64</v>
      </c>
    </row>
    <row r="18" spans="1:11" x14ac:dyDescent="0.35">
      <c r="A18" t="s">
        <v>23</v>
      </c>
      <c r="B18">
        <v>5</v>
      </c>
      <c r="C18">
        <v>3</v>
      </c>
      <c r="D18">
        <v>1</v>
      </c>
      <c r="E18">
        <v>1</v>
      </c>
      <c r="F18">
        <f t="shared" si="15"/>
        <v>0.8</v>
      </c>
      <c r="G18">
        <f t="shared" si="16"/>
        <v>0.36</v>
      </c>
      <c r="H18">
        <f t="shared" si="17"/>
        <v>0.16000000000000003</v>
      </c>
      <c r="I18">
        <f t="shared" si="18"/>
        <v>0.52</v>
      </c>
      <c r="J18">
        <f t="shared" si="19"/>
        <v>0.58333333333333337</v>
      </c>
      <c r="K18" t="s">
        <v>64</v>
      </c>
    </row>
    <row r="19" spans="1:11" x14ac:dyDescent="0.35">
      <c r="A19" t="s">
        <v>18</v>
      </c>
      <c r="B19">
        <v>4</v>
      </c>
      <c r="C19">
        <v>4</v>
      </c>
      <c r="D19">
        <v>2</v>
      </c>
      <c r="E19">
        <v>0</v>
      </c>
      <c r="F19">
        <f t="shared" si="15"/>
        <v>0.8</v>
      </c>
      <c r="G19">
        <f t="shared" si="16"/>
        <v>0.24</v>
      </c>
      <c r="H19">
        <f t="shared" si="17"/>
        <v>0.24</v>
      </c>
      <c r="I19">
        <f t="shared" si="18"/>
        <v>0.48</v>
      </c>
      <c r="J19">
        <f t="shared" si="19"/>
        <v>0.61538461538461553</v>
      </c>
      <c r="K19" t="s">
        <v>64</v>
      </c>
    </row>
    <row r="20" spans="1:11" x14ac:dyDescent="0.35">
      <c r="A20" t="s">
        <v>20</v>
      </c>
      <c r="B20">
        <v>3</v>
      </c>
      <c r="C20">
        <v>4</v>
      </c>
      <c r="D20">
        <v>3</v>
      </c>
      <c r="E20">
        <v>0</v>
      </c>
      <c r="F20">
        <f t="shared" si="15"/>
        <v>0.7</v>
      </c>
      <c r="G20">
        <f t="shared" si="16"/>
        <v>0.18</v>
      </c>
      <c r="H20">
        <f t="shared" si="17"/>
        <v>0.27999999999999997</v>
      </c>
      <c r="I20">
        <f t="shared" si="18"/>
        <v>0.45999999999999996</v>
      </c>
      <c r="J20">
        <f t="shared" si="19"/>
        <v>0.44444444444444442</v>
      </c>
      <c r="K20" t="s">
        <v>64</v>
      </c>
    </row>
    <row r="21" spans="1:11" x14ac:dyDescent="0.35">
      <c r="A21" t="s">
        <v>24</v>
      </c>
      <c r="B21">
        <v>1</v>
      </c>
      <c r="C21">
        <v>3</v>
      </c>
      <c r="D21">
        <v>5</v>
      </c>
      <c r="E21">
        <v>0</v>
      </c>
      <c r="F21">
        <f t="shared" si="15"/>
        <v>0.44444444444444442</v>
      </c>
      <c r="G21">
        <f t="shared" si="16"/>
        <v>7.407407407407407E-2</v>
      </c>
      <c r="H21">
        <f t="shared" si="17"/>
        <v>0.29629629629629628</v>
      </c>
      <c r="I21">
        <f t="shared" si="18"/>
        <v>0.37037037037037035</v>
      </c>
      <c r="J21">
        <f t="shared" si="19"/>
        <v>0.1176470588235294</v>
      </c>
      <c r="K21" t="s">
        <v>64</v>
      </c>
    </row>
    <row r="22" spans="1:11" x14ac:dyDescent="0.35">
      <c r="A22" t="s">
        <v>15</v>
      </c>
      <c r="B22">
        <v>6</v>
      </c>
      <c r="C22">
        <v>3</v>
      </c>
      <c r="D22">
        <v>0</v>
      </c>
      <c r="E22">
        <v>1</v>
      </c>
      <c r="F22">
        <f t="shared" si="15"/>
        <v>0.9</v>
      </c>
      <c r="G22">
        <f t="shared" si="16"/>
        <v>0.42</v>
      </c>
      <c r="H22">
        <f t="shared" si="17"/>
        <v>0.12</v>
      </c>
      <c r="I22">
        <f t="shared" si="18"/>
        <v>0.54</v>
      </c>
      <c r="J22">
        <f t="shared" si="19"/>
        <v>0.78260869565217395</v>
      </c>
      <c r="K22" t="s">
        <v>64</v>
      </c>
    </row>
    <row r="23" spans="1:11" x14ac:dyDescent="0.35">
      <c r="A23" t="s">
        <v>10</v>
      </c>
      <c r="B23">
        <v>1</v>
      </c>
      <c r="C23">
        <v>1</v>
      </c>
      <c r="D23">
        <v>5</v>
      </c>
      <c r="E23">
        <v>3</v>
      </c>
      <c r="F23">
        <f t="shared" si="15"/>
        <v>0.2</v>
      </c>
      <c r="G23">
        <f t="shared" si="16"/>
        <v>0.24</v>
      </c>
      <c r="H23">
        <f t="shared" si="17"/>
        <v>0.24</v>
      </c>
      <c r="I23">
        <f t="shared" si="18"/>
        <v>0.48</v>
      </c>
      <c r="J23">
        <f t="shared" si="19"/>
        <v>-0.53846153846153844</v>
      </c>
      <c r="K23" t="s">
        <v>64</v>
      </c>
    </row>
    <row r="24" spans="1:11" x14ac:dyDescent="0.35">
      <c r="A24" t="s">
        <v>24</v>
      </c>
      <c r="B24">
        <v>5</v>
      </c>
      <c r="C24">
        <v>4</v>
      </c>
      <c r="D24">
        <v>1</v>
      </c>
      <c r="F24">
        <f t="shared" ref="F24" si="20">(B24+C24)/SUM(B24:E24)</f>
        <v>0.9</v>
      </c>
      <c r="G24">
        <f t="shared" ref="G24" si="21">((B24+D24)/SUM(B24:E24))*((B24+E24)/SUM(B24:E24))</f>
        <v>0.3</v>
      </c>
      <c r="H24">
        <f t="shared" ref="H24" si="22">((C24+E24)/SUM(B24:E24))*((C24+D24)/SUM(B24:E24))</f>
        <v>0.2</v>
      </c>
      <c r="I24">
        <f t="shared" ref="I24" si="23">G24+H24</f>
        <v>0.5</v>
      </c>
      <c r="J24">
        <f t="shared" ref="J24" si="24">(F24-I24)/(1-I24)</f>
        <v>0.8</v>
      </c>
      <c r="K2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abstracts</vt:lpstr>
      <vt:lpstr>full text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2025-03-14T10:20:58Z</dcterms:created>
  <dcterms:modified xsi:type="dcterms:W3CDTF">2025-12-18T20:50:07Z</dcterms:modified>
</cp:coreProperties>
</file>