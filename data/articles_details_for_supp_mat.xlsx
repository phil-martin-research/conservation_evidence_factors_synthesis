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G:\My Drive\work\Projects\In_progress\conservation_evidence_factors_synthesis\data\"/>
    </mc:Choice>
  </mc:AlternateContent>
  <xr:revisionPtr revIDLastSave="0" documentId="13_ncr:9_{D86C47E7-9CC8-4CA8-983C-9491966B9E44}" xr6:coauthVersionLast="47" xr6:coauthVersionMax="47" xr10:uidLastSave="{00000000-0000-0000-0000-000000000000}"/>
  <bookViews>
    <workbookView xWindow="-120" yWindow="-120" windowWidth="29040" windowHeight="15720" activeTab="1" xr2:uid="{17B346DB-2171-4EA8-99DB-90265D9275A9}"/>
  </bookViews>
  <sheets>
    <sheet name="articles_2026_01_26" sheetId="1" r:id="rId1"/>
    <sheet name="Sheet1" sheetId="2" r:id="rId2"/>
  </sheets>
  <calcPr calcId="0"/>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70" i="2" l="1"/>
  <c r="H170" i="2"/>
  <c r="G170" i="2"/>
  <c r="F170" i="2"/>
  <c r="E170" i="2"/>
  <c r="D170" i="2"/>
  <c r="C170" i="2"/>
  <c r="B170" i="2"/>
  <c r="I169" i="2"/>
  <c r="H169" i="2"/>
  <c r="G169" i="2"/>
  <c r="F169" i="2"/>
  <c r="E169" i="2"/>
  <c r="D169" i="2"/>
  <c r="C169" i="2"/>
  <c r="B169" i="2"/>
  <c r="I168" i="2"/>
  <c r="H168" i="2"/>
  <c r="G168" i="2"/>
  <c r="F168" i="2"/>
  <c r="E168" i="2"/>
  <c r="D168" i="2"/>
  <c r="C168" i="2"/>
  <c r="B168" i="2"/>
  <c r="I167" i="2"/>
  <c r="H167" i="2"/>
  <c r="G167" i="2"/>
  <c r="F167" i="2"/>
  <c r="E167" i="2"/>
  <c r="D167" i="2"/>
  <c r="C167" i="2"/>
  <c r="B167" i="2"/>
  <c r="I166" i="2"/>
  <c r="H166" i="2"/>
  <c r="G166" i="2"/>
  <c r="F166" i="2"/>
  <c r="E166" i="2"/>
  <c r="D166" i="2"/>
  <c r="C166" i="2"/>
  <c r="B166" i="2"/>
  <c r="I165" i="2"/>
  <c r="H165" i="2"/>
  <c r="G165" i="2"/>
  <c r="F165" i="2"/>
  <c r="E165" i="2"/>
  <c r="D165" i="2"/>
  <c r="C165" i="2"/>
  <c r="B165" i="2"/>
  <c r="I164" i="2"/>
  <c r="H164" i="2"/>
  <c r="G164" i="2"/>
  <c r="F164" i="2"/>
  <c r="E164" i="2"/>
  <c r="D164" i="2"/>
  <c r="C164" i="2"/>
  <c r="B164" i="2"/>
  <c r="I163" i="2"/>
  <c r="H163" i="2"/>
  <c r="G163" i="2"/>
  <c r="F163" i="2"/>
  <c r="E163" i="2"/>
  <c r="D163" i="2"/>
  <c r="C163" i="2"/>
  <c r="B163" i="2"/>
  <c r="I162" i="2"/>
  <c r="H162" i="2"/>
  <c r="G162" i="2"/>
  <c r="F162" i="2"/>
  <c r="E162" i="2"/>
  <c r="D162" i="2"/>
  <c r="C162" i="2"/>
  <c r="B162" i="2"/>
  <c r="I161" i="2"/>
  <c r="H161" i="2"/>
  <c r="G161" i="2"/>
  <c r="F161" i="2"/>
  <c r="E161" i="2"/>
  <c r="D161" i="2"/>
  <c r="C161" i="2"/>
  <c r="B161" i="2"/>
  <c r="I160" i="2"/>
  <c r="H160" i="2"/>
  <c r="G160" i="2"/>
  <c r="F160" i="2"/>
  <c r="E160" i="2"/>
  <c r="D160" i="2"/>
  <c r="C160" i="2"/>
  <c r="B160" i="2"/>
  <c r="I159" i="2"/>
  <c r="H159" i="2"/>
  <c r="G159" i="2"/>
  <c r="F159" i="2"/>
  <c r="E159" i="2"/>
  <c r="D159" i="2"/>
  <c r="C159" i="2"/>
  <c r="B159" i="2"/>
  <c r="I158" i="2"/>
  <c r="H158" i="2"/>
  <c r="G158" i="2"/>
  <c r="F158" i="2"/>
  <c r="E158" i="2"/>
  <c r="D158" i="2"/>
  <c r="C158" i="2"/>
  <c r="B158" i="2"/>
  <c r="I157" i="2"/>
  <c r="H157" i="2"/>
  <c r="G157" i="2"/>
  <c r="F157" i="2"/>
  <c r="E157" i="2"/>
  <c r="D157" i="2"/>
  <c r="C157" i="2"/>
  <c r="B157" i="2"/>
  <c r="I156" i="2"/>
  <c r="H156" i="2"/>
  <c r="G156" i="2"/>
  <c r="F156" i="2"/>
  <c r="E156" i="2"/>
  <c r="D156" i="2"/>
  <c r="C156" i="2"/>
  <c r="B156" i="2"/>
  <c r="I155" i="2"/>
  <c r="H155" i="2"/>
  <c r="G155" i="2"/>
  <c r="F155" i="2"/>
  <c r="E155" i="2"/>
  <c r="D155" i="2"/>
  <c r="C155" i="2"/>
  <c r="B155" i="2"/>
  <c r="I154" i="2"/>
  <c r="H154" i="2"/>
  <c r="G154" i="2"/>
  <c r="F154" i="2"/>
  <c r="E154" i="2"/>
  <c r="D154" i="2"/>
  <c r="C154" i="2"/>
  <c r="B154" i="2"/>
  <c r="I153" i="2"/>
  <c r="H153" i="2"/>
  <c r="G153" i="2"/>
  <c r="F153" i="2"/>
  <c r="E153" i="2"/>
  <c r="D153" i="2"/>
  <c r="C153" i="2"/>
  <c r="B153" i="2"/>
  <c r="I152" i="2"/>
  <c r="H152" i="2"/>
  <c r="G152" i="2"/>
  <c r="F152" i="2"/>
  <c r="E152" i="2"/>
  <c r="D152" i="2"/>
  <c r="C152" i="2"/>
  <c r="B152" i="2"/>
  <c r="I151" i="2"/>
  <c r="H151" i="2"/>
  <c r="G151" i="2"/>
  <c r="F151" i="2"/>
  <c r="E151" i="2"/>
  <c r="D151" i="2"/>
  <c r="C151" i="2"/>
  <c r="B151" i="2"/>
  <c r="I150" i="2"/>
  <c r="H150" i="2"/>
  <c r="G150" i="2"/>
  <c r="F150" i="2"/>
  <c r="E150" i="2"/>
  <c r="D150" i="2"/>
  <c r="C150" i="2"/>
  <c r="B150" i="2"/>
  <c r="I149" i="2"/>
  <c r="H149" i="2"/>
  <c r="G149" i="2"/>
  <c r="F149" i="2"/>
  <c r="E149" i="2"/>
  <c r="D149" i="2"/>
  <c r="C149" i="2"/>
  <c r="B149" i="2"/>
  <c r="I148" i="2"/>
  <c r="H148" i="2"/>
  <c r="G148" i="2"/>
  <c r="F148" i="2"/>
  <c r="E148" i="2"/>
  <c r="D148" i="2"/>
  <c r="C148" i="2"/>
  <c r="B148" i="2"/>
  <c r="I147" i="2"/>
  <c r="H147" i="2"/>
  <c r="G147" i="2"/>
  <c r="F147" i="2"/>
  <c r="E147" i="2"/>
  <c r="D147" i="2"/>
  <c r="C147" i="2"/>
  <c r="B147" i="2"/>
  <c r="I146" i="2"/>
  <c r="H146" i="2"/>
  <c r="G146" i="2"/>
  <c r="F146" i="2"/>
  <c r="E146" i="2"/>
  <c r="D146" i="2"/>
  <c r="C146" i="2"/>
  <c r="B146" i="2"/>
  <c r="I145" i="2"/>
  <c r="H145" i="2"/>
  <c r="G145" i="2"/>
  <c r="F145" i="2"/>
  <c r="E145" i="2"/>
  <c r="D145" i="2"/>
  <c r="C145" i="2"/>
  <c r="B145" i="2"/>
  <c r="I144" i="2"/>
  <c r="H144" i="2"/>
  <c r="G144" i="2"/>
  <c r="F144" i="2"/>
  <c r="E144" i="2"/>
  <c r="D144" i="2"/>
  <c r="C144" i="2"/>
  <c r="B144" i="2"/>
  <c r="I143" i="2"/>
  <c r="H143" i="2"/>
  <c r="G143" i="2"/>
  <c r="F143" i="2"/>
  <c r="E143" i="2"/>
  <c r="D143" i="2"/>
  <c r="C143" i="2"/>
  <c r="B143" i="2"/>
  <c r="I142" i="2"/>
  <c r="H142" i="2"/>
  <c r="G142" i="2"/>
  <c r="F142" i="2"/>
  <c r="E142" i="2"/>
  <c r="D142" i="2"/>
  <c r="C142" i="2"/>
  <c r="B142" i="2"/>
  <c r="I141" i="2"/>
  <c r="H141" i="2"/>
  <c r="G141" i="2"/>
  <c r="F141" i="2"/>
  <c r="E141" i="2"/>
  <c r="D141" i="2"/>
  <c r="C141" i="2"/>
  <c r="B141" i="2"/>
  <c r="I140" i="2"/>
  <c r="H140" i="2"/>
  <c r="G140" i="2"/>
  <c r="F140" i="2"/>
  <c r="E140" i="2"/>
  <c r="D140" i="2"/>
  <c r="C140" i="2"/>
  <c r="B140" i="2"/>
  <c r="I139" i="2"/>
  <c r="H139" i="2"/>
  <c r="G139" i="2"/>
  <c r="F139" i="2"/>
  <c r="E139" i="2"/>
  <c r="D139" i="2"/>
  <c r="C139" i="2"/>
  <c r="B139" i="2"/>
  <c r="I138" i="2"/>
  <c r="H138" i="2"/>
  <c r="G138" i="2"/>
  <c r="F138" i="2"/>
  <c r="E138" i="2"/>
  <c r="D138" i="2"/>
  <c r="C138" i="2"/>
  <c r="B138" i="2"/>
  <c r="I137" i="2"/>
  <c r="H137" i="2"/>
  <c r="G137" i="2"/>
  <c r="F137" i="2"/>
  <c r="E137" i="2"/>
  <c r="D137" i="2"/>
  <c r="C137" i="2"/>
  <c r="B137" i="2"/>
  <c r="I136" i="2"/>
  <c r="H136" i="2"/>
  <c r="G136" i="2"/>
  <c r="F136" i="2"/>
  <c r="E136" i="2"/>
  <c r="D136" i="2"/>
  <c r="C136" i="2"/>
  <c r="B136" i="2"/>
  <c r="I135" i="2"/>
  <c r="H135" i="2"/>
  <c r="G135" i="2"/>
  <c r="F135" i="2"/>
  <c r="E135" i="2"/>
  <c r="D135" i="2"/>
  <c r="C135" i="2"/>
  <c r="B135" i="2"/>
  <c r="I134" i="2"/>
  <c r="H134" i="2"/>
  <c r="G134" i="2"/>
  <c r="F134" i="2"/>
  <c r="E134" i="2"/>
  <c r="D134" i="2"/>
  <c r="C134" i="2"/>
  <c r="B134" i="2"/>
  <c r="I133" i="2"/>
  <c r="H133" i="2"/>
  <c r="G133" i="2"/>
  <c r="F133" i="2"/>
  <c r="E133" i="2"/>
  <c r="D133" i="2"/>
  <c r="C133" i="2"/>
  <c r="B133" i="2"/>
  <c r="I132" i="2"/>
  <c r="H132" i="2"/>
  <c r="G132" i="2"/>
  <c r="F132" i="2"/>
  <c r="E132" i="2"/>
  <c r="D132" i="2"/>
  <c r="C132" i="2"/>
  <c r="B132" i="2"/>
  <c r="I131" i="2"/>
  <c r="H131" i="2"/>
  <c r="G131" i="2"/>
  <c r="F131" i="2"/>
  <c r="E131" i="2"/>
  <c r="D131" i="2"/>
  <c r="C131" i="2"/>
  <c r="B131" i="2"/>
  <c r="I130" i="2"/>
  <c r="H130" i="2"/>
  <c r="G130" i="2"/>
  <c r="F130" i="2"/>
  <c r="E130" i="2"/>
  <c r="D130" i="2"/>
  <c r="C130" i="2"/>
  <c r="B130" i="2"/>
  <c r="I129" i="2"/>
  <c r="H129" i="2"/>
  <c r="G129" i="2"/>
  <c r="F129" i="2"/>
  <c r="E129" i="2"/>
  <c r="D129" i="2"/>
  <c r="C129" i="2"/>
  <c r="B129" i="2"/>
  <c r="I128" i="2"/>
  <c r="H128" i="2"/>
  <c r="G128" i="2"/>
  <c r="F128" i="2"/>
  <c r="E128" i="2"/>
  <c r="D128" i="2"/>
  <c r="C128" i="2"/>
  <c r="B128" i="2"/>
  <c r="I127" i="2"/>
  <c r="H127" i="2"/>
  <c r="G127" i="2"/>
  <c r="F127" i="2"/>
  <c r="E127" i="2"/>
  <c r="D127" i="2"/>
  <c r="C127" i="2"/>
  <c r="B127" i="2"/>
  <c r="I126" i="2"/>
  <c r="H126" i="2"/>
  <c r="G126" i="2"/>
  <c r="F126" i="2"/>
  <c r="E126" i="2"/>
  <c r="D126" i="2"/>
  <c r="C126" i="2"/>
  <c r="B126" i="2"/>
  <c r="I125" i="2"/>
  <c r="H125" i="2"/>
  <c r="G125" i="2"/>
  <c r="F125" i="2"/>
  <c r="E125" i="2"/>
  <c r="D125" i="2"/>
  <c r="C125" i="2"/>
  <c r="B125" i="2"/>
  <c r="I124" i="2"/>
  <c r="H124" i="2"/>
  <c r="G124" i="2"/>
  <c r="F124" i="2"/>
  <c r="E124" i="2"/>
  <c r="D124" i="2"/>
  <c r="C124" i="2"/>
  <c r="B124" i="2"/>
  <c r="I123" i="2"/>
  <c r="H123" i="2"/>
  <c r="G123" i="2"/>
  <c r="F123" i="2"/>
  <c r="E123" i="2"/>
  <c r="D123" i="2"/>
  <c r="C123" i="2"/>
  <c r="B123" i="2"/>
  <c r="I122" i="2"/>
  <c r="H122" i="2"/>
  <c r="G122" i="2"/>
  <c r="F122" i="2"/>
  <c r="E122" i="2"/>
  <c r="D122" i="2"/>
  <c r="C122" i="2"/>
  <c r="B122" i="2"/>
  <c r="I121" i="2"/>
  <c r="H121" i="2"/>
  <c r="G121" i="2"/>
  <c r="F121" i="2"/>
  <c r="E121" i="2"/>
  <c r="D121" i="2"/>
  <c r="C121" i="2"/>
  <c r="B121" i="2"/>
  <c r="I120" i="2"/>
  <c r="H120" i="2"/>
  <c r="G120" i="2"/>
  <c r="F120" i="2"/>
  <c r="E120" i="2"/>
  <c r="D120" i="2"/>
  <c r="C120" i="2"/>
  <c r="B120" i="2"/>
  <c r="I119" i="2"/>
  <c r="H119" i="2"/>
  <c r="G119" i="2"/>
  <c r="F119" i="2"/>
  <c r="E119" i="2"/>
  <c r="D119" i="2"/>
  <c r="C119" i="2"/>
  <c r="B119" i="2"/>
  <c r="I118" i="2"/>
  <c r="H118" i="2"/>
  <c r="G118" i="2"/>
  <c r="F118" i="2"/>
  <c r="E118" i="2"/>
  <c r="D118" i="2"/>
  <c r="C118" i="2"/>
  <c r="B118" i="2"/>
  <c r="I117" i="2"/>
  <c r="H117" i="2"/>
  <c r="G117" i="2"/>
  <c r="F117" i="2"/>
  <c r="E117" i="2"/>
  <c r="D117" i="2"/>
  <c r="C117" i="2"/>
  <c r="B117" i="2"/>
  <c r="I116" i="2"/>
  <c r="H116" i="2"/>
  <c r="G116" i="2"/>
  <c r="F116" i="2"/>
  <c r="E116" i="2"/>
  <c r="D116" i="2"/>
  <c r="C116" i="2"/>
  <c r="B116" i="2"/>
  <c r="I115" i="2"/>
  <c r="H115" i="2"/>
  <c r="G115" i="2"/>
  <c r="F115" i="2"/>
  <c r="E115" i="2"/>
  <c r="D115" i="2"/>
  <c r="C115" i="2"/>
  <c r="B115" i="2"/>
  <c r="I114" i="2"/>
  <c r="H114" i="2"/>
  <c r="G114" i="2"/>
  <c r="F114" i="2"/>
  <c r="E114" i="2"/>
  <c r="D114" i="2"/>
  <c r="C114" i="2"/>
  <c r="B114" i="2"/>
  <c r="I113" i="2"/>
  <c r="H113" i="2"/>
  <c r="G113" i="2"/>
  <c r="F113" i="2"/>
  <c r="E113" i="2"/>
  <c r="D113" i="2"/>
  <c r="C113" i="2"/>
  <c r="B113" i="2"/>
  <c r="I112" i="2"/>
  <c r="H112" i="2"/>
  <c r="G112" i="2"/>
  <c r="F112" i="2"/>
  <c r="E112" i="2"/>
  <c r="D112" i="2"/>
  <c r="C112" i="2"/>
  <c r="B112" i="2"/>
  <c r="I111" i="2"/>
  <c r="H111" i="2"/>
  <c r="G111" i="2"/>
  <c r="F111" i="2"/>
  <c r="E111" i="2"/>
  <c r="D111" i="2"/>
  <c r="C111" i="2"/>
  <c r="B111" i="2"/>
  <c r="I110" i="2"/>
  <c r="H110" i="2"/>
  <c r="G110" i="2"/>
  <c r="F110" i="2"/>
  <c r="E110" i="2"/>
  <c r="D110" i="2"/>
  <c r="C110" i="2"/>
  <c r="B110" i="2"/>
  <c r="I109" i="2"/>
  <c r="H109" i="2"/>
  <c r="G109" i="2"/>
  <c r="F109" i="2"/>
  <c r="E109" i="2"/>
  <c r="D109" i="2"/>
  <c r="C109" i="2"/>
  <c r="B109" i="2"/>
  <c r="I108" i="2"/>
  <c r="H108" i="2"/>
  <c r="G108" i="2"/>
  <c r="F108" i="2"/>
  <c r="E108" i="2"/>
  <c r="D108" i="2"/>
  <c r="C108" i="2"/>
  <c r="B108" i="2"/>
  <c r="I107" i="2"/>
  <c r="H107" i="2"/>
  <c r="G107" i="2"/>
  <c r="F107" i="2"/>
  <c r="E107" i="2"/>
  <c r="D107" i="2"/>
  <c r="C107" i="2"/>
  <c r="B107" i="2"/>
  <c r="I106" i="2"/>
  <c r="H106" i="2"/>
  <c r="G106" i="2"/>
  <c r="F106" i="2"/>
  <c r="E106" i="2"/>
  <c r="D106" i="2"/>
  <c r="C106" i="2"/>
  <c r="B106" i="2"/>
  <c r="I105" i="2"/>
  <c r="H105" i="2"/>
  <c r="G105" i="2"/>
  <c r="F105" i="2"/>
  <c r="E105" i="2"/>
  <c r="D105" i="2"/>
  <c r="C105" i="2"/>
  <c r="B105" i="2"/>
  <c r="I104" i="2"/>
  <c r="H104" i="2"/>
  <c r="G104" i="2"/>
  <c r="F104" i="2"/>
  <c r="E104" i="2"/>
  <c r="D104" i="2"/>
  <c r="C104" i="2"/>
  <c r="B104" i="2"/>
  <c r="I103" i="2"/>
  <c r="H103" i="2"/>
  <c r="G103" i="2"/>
  <c r="F103" i="2"/>
  <c r="E103" i="2"/>
  <c r="D103" i="2"/>
  <c r="C103" i="2"/>
  <c r="B103" i="2"/>
  <c r="I102" i="2"/>
  <c r="H102" i="2"/>
  <c r="G102" i="2"/>
  <c r="F102" i="2"/>
  <c r="E102" i="2"/>
  <c r="D102" i="2"/>
  <c r="C102" i="2"/>
  <c r="B102" i="2"/>
  <c r="I101" i="2"/>
  <c r="H101" i="2"/>
  <c r="G101" i="2"/>
  <c r="F101" i="2"/>
  <c r="E101" i="2"/>
  <c r="D101" i="2"/>
  <c r="C101" i="2"/>
  <c r="B101" i="2"/>
  <c r="I100" i="2"/>
  <c r="H100" i="2"/>
  <c r="G100" i="2"/>
  <c r="F100" i="2"/>
  <c r="E100" i="2"/>
  <c r="D100" i="2"/>
  <c r="C100" i="2"/>
  <c r="B100" i="2"/>
  <c r="I99" i="2"/>
  <c r="H99" i="2"/>
  <c r="G99" i="2"/>
  <c r="F99" i="2"/>
  <c r="E99" i="2"/>
  <c r="D99" i="2"/>
  <c r="C99" i="2"/>
  <c r="B99" i="2"/>
  <c r="I98" i="2"/>
  <c r="H98" i="2"/>
  <c r="G98" i="2"/>
  <c r="F98" i="2"/>
  <c r="E98" i="2"/>
  <c r="D98" i="2"/>
  <c r="C98" i="2"/>
  <c r="B98" i="2"/>
  <c r="I97" i="2"/>
  <c r="H97" i="2"/>
  <c r="G97" i="2"/>
  <c r="F97" i="2"/>
  <c r="E97" i="2"/>
  <c r="D97" i="2"/>
  <c r="C97" i="2"/>
  <c r="B97" i="2"/>
  <c r="I96" i="2"/>
  <c r="H96" i="2"/>
  <c r="G96" i="2"/>
  <c r="F96" i="2"/>
  <c r="E96" i="2"/>
  <c r="D96" i="2"/>
  <c r="C96" i="2"/>
  <c r="B96" i="2"/>
  <c r="I95" i="2"/>
  <c r="H95" i="2"/>
  <c r="G95" i="2"/>
  <c r="F95" i="2"/>
  <c r="E95" i="2"/>
  <c r="D95" i="2"/>
  <c r="C95" i="2"/>
  <c r="B95" i="2"/>
  <c r="I94" i="2"/>
  <c r="H94" i="2"/>
  <c r="G94" i="2"/>
  <c r="F94" i="2"/>
  <c r="E94" i="2"/>
  <c r="D94" i="2"/>
  <c r="C94" i="2"/>
  <c r="B94" i="2"/>
  <c r="I93" i="2"/>
  <c r="H93" i="2"/>
  <c r="G93" i="2"/>
  <c r="F93" i="2"/>
  <c r="E93" i="2"/>
  <c r="D93" i="2"/>
  <c r="C93" i="2"/>
  <c r="B93" i="2"/>
  <c r="I92" i="2"/>
  <c r="H92" i="2"/>
  <c r="G92" i="2"/>
  <c r="F92" i="2"/>
  <c r="E92" i="2"/>
  <c r="D92" i="2"/>
  <c r="C92" i="2"/>
  <c r="B92" i="2"/>
  <c r="I91" i="2"/>
  <c r="H91" i="2"/>
  <c r="G91" i="2"/>
  <c r="F91" i="2"/>
  <c r="E91" i="2"/>
  <c r="D91" i="2"/>
  <c r="C91" i="2"/>
  <c r="B91" i="2"/>
  <c r="I90" i="2"/>
  <c r="H90" i="2"/>
  <c r="G90" i="2"/>
  <c r="F90" i="2"/>
  <c r="E90" i="2"/>
  <c r="D90" i="2"/>
  <c r="C90" i="2"/>
  <c r="B90" i="2"/>
  <c r="I89" i="2"/>
  <c r="H89" i="2"/>
  <c r="G89" i="2"/>
  <c r="F89" i="2"/>
  <c r="E89" i="2"/>
  <c r="D89" i="2"/>
  <c r="C89" i="2"/>
  <c r="B89" i="2"/>
  <c r="I88" i="2"/>
  <c r="H88" i="2"/>
  <c r="G88" i="2"/>
  <c r="F88" i="2"/>
  <c r="E88" i="2"/>
  <c r="D88" i="2"/>
  <c r="C88" i="2"/>
  <c r="B88" i="2"/>
  <c r="I87" i="2"/>
  <c r="H87" i="2"/>
  <c r="G87" i="2"/>
  <c r="F87" i="2"/>
  <c r="E87" i="2"/>
  <c r="D87" i="2"/>
  <c r="C87" i="2"/>
  <c r="B87" i="2"/>
  <c r="I86" i="2"/>
  <c r="H86" i="2"/>
  <c r="G86" i="2"/>
  <c r="F86" i="2"/>
  <c r="E86" i="2"/>
  <c r="D86" i="2"/>
  <c r="C86" i="2"/>
  <c r="B86" i="2"/>
  <c r="I85" i="2"/>
  <c r="H85" i="2"/>
  <c r="G85" i="2"/>
  <c r="F85" i="2"/>
  <c r="E85" i="2"/>
  <c r="D85" i="2"/>
  <c r="C85" i="2"/>
  <c r="B85" i="2"/>
  <c r="I84" i="2"/>
  <c r="H84" i="2"/>
  <c r="G84" i="2"/>
  <c r="F84" i="2"/>
  <c r="E84" i="2"/>
  <c r="D84" i="2"/>
  <c r="C84" i="2"/>
  <c r="B84" i="2"/>
  <c r="I83" i="2"/>
  <c r="H83" i="2"/>
  <c r="G83" i="2"/>
  <c r="F83" i="2"/>
  <c r="E83" i="2"/>
  <c r="D83" i="2"/>
  <c r="C83" i="2"/>
  <c r="B83" i="2"/>
  <c r="I82" i="2"/>
  <c r="H82" i="2"/>
  <c r="G82" i="2"/>
  <c r="F82" i="2"/>
  <c r="E82" i="2"/>
  <c r="D82" i="2"/>
  <c r="C82" i="2"/>
  <c r="B82" i="2"/>
  <c r="I81" i="2"/>
  <c r="H81" i="2"/>
  <c r="G81" i="2"/>
  <c r="F81" i="2"/>
  <c r="E81" i="2"/>
  <c r="D81" i="2"/>
  <c r="C81" i="2"/>
  <c r="B81" i="2"/>
  <c r="I80" i="2"/>
  <c r="H80" i="2"/>
  <c r="G80" i="2"/>
  <c r="F80" i="2"/>
  <c r="E80" i="2"/>
  <c r="D80" i="2"/>
  <c r="C80" i="2"/>
  <c r="B80" i="2"/>
  <c r="I79" i="2"/>
  <c r="H79" i="2"/>
  <c r="G79" i="2"/>
  <c r="F79" i="2"/>
  <c r="E79" i="2"/>
  <c r="D79" i="2"/>
  <c r="C79" i="2"/>
  <c r="B79" i="2"/>
  <c r="I78" i="2"/>
  <c r="H78" i="2"/>
  <c r="G78" i="2"/>
  <c r="F78" i="2"/>
  <c r="E78" i="2"/>
  <c r="D78" i="2"/>
  <c r="C78" i="2"/>
  <c r="B78" i="2"/>
  <c r="I77" i="2"/>
  <c r="H77" i="2"/>
  <c r="G77" i="2"/>
  <c r="F77" i="2"/>
  <c r="E77" i="2"/>
  <c r="D77" i="2"/>
  <c r="C77" i="2"/>
  <c r="B77" i="2"/>
  <c r="I76" i="2"/>
  <c r="H76" i="2"/>
  <c r="G76" i="2"/>
  <c r="F76" i="2"/>
  <c r="E76" i="2"/>
  <c r="D76" i="2"/>
  <c r="C76" i="2"/>
  <c r="B76" i="2"/>
  <c r="I75" i="2"/>
  <c r="H75" i="2"/>
  <c r="G75" i="2"/>
  <c r="F75" i="2"/>
  <c r="E75" i="2"/>
  <c r="D75" i="2"/>
  <c r="C75" i="2"/>
  <c r="B75" i="2"/>
  <c r="I74" i="2"/>
  <c r="H74" i="2"/>
  <c r="G74" i="2"/>
  <c r="F74" i="2"/>
  <c r="E74" i="2"/>
  <c r="D74" i="2"/>
  <c r="C74" i="2"/>
  <c r="B74" i="2"/>
  <c r="I73" i="2"/>
  <c r="H73" i="2"/>
  <c r="G73" i="2"/>
  <c r="F73" i="2"/>
  <c r="E73" i="2"/>
  <c r="D73" i="2"/>
  <c r="C73" i="2"/>
  <c r="B73" i="2"/>
  <c r="I72" i="2"/>
  <c r="H72" i="2"/>
  <c r="G72" i="2"/>
  <c r="F72" i="2"/>
  <c r="E72" i="2"/>
  <c r="D72" i="2"/>
  <c r="C72" i="2"/>
  <c r="B72" i="2"/>
  <c r="I71" i="2"/>
  <c r="H71" i="2"/>
  <c r="G71" i="2"/>
  <c r="F71" i="2"/>
  <c r="E71" i="2"/>
  <c r="D71" i="2"/>
  <c r="C71" i="2"/>
  <c r="B71" i="2"/>
  <c r="I70" i="2"/>
  <c r="H70" i="2"/>
  <c r="G70" i="2"/>
  <c r="F70" i="2"/>
  <c r="E70" i="2"/>
  <c r="D70" i="2"/>
  <c r="C70" i="2"/>
  <c r="B70" i="2"/>
  <c r="I69" i="2"/>
  <c r="H69" i="2"/>
  <c r="G69" i="2"/>
  <c r="F69" i="2"/>
  <c r="E69" i="2"/>
  <c r="D69" i="2"/>
  <c r="C69" i="2"/>
  <c r="B69" i="2"/>
  <c r="I68" i="2"/>
  <c r="H68" i="2"/>
  <c r="G68" i="2"/>
  <c r="F68" i="2"/>
  <c r="E68" i="2"/>
  <c r="D68" i="2"/>
  <c r="C68" i="2"/>
  <c r="B68" i="2"/>
  <c r="I67" i="2"/>
  <c r="H67" i="2"/>
  <c r="G67" i="2"/>
  <c r="F67" i="2"/>
  <c r="E67" i="2"/>
  <c r="D67" i="2"/>
  <c r="C67" i="2"/>
  <c r="B67" i="2"/>
  <c r="I66" i="2"/>
  <c r="H66" i="2"/>
  <c r="G66" i="2"/>
  <c r="F66" i="2"/>
  <c r="E66" i="2"/>
  <c r="D66" i="2"/>
  <c r="C66" i="2"/>
  <c r="B66" i="2"/>
  <c r="I65" i="2"/>
  <c r="H65" i="2"/>
  <c r="G65" i="2"/>
  <c r="F65" i="2"/>
  <c r="E65" i="2"/>
  <c r="D65" i="2"/>
  <c r="C65" i="2"/>
  <c r="B65" i="2"/>
  <c r="I64" i="2"/>
  <c r="H64" i="2"/>
  <c r="G64" i="2"/>
  <c r="F64" i="2"/>
  <c r="E64" i="2"/>
  <c r="D64" i="2"/>
  <c r="C64" i="2"/>
  <c r="B64" i="2"/>
  <c r="I63" i="2"/>
  <c r="H63" i="2"/>
  <c r="G63" i="2"/>
  <c r="F63" i="2"/>
  <c r="E63" i="2"/>
  <c r="D63" i="2"/>
  <c r="C63" i="2"/>
  <c r="B63" i="2"/>
  <c r="I62" i="2"/>
  <c r="H62" i="2"/>
  <c r="G62" i="2"/>
  <c r="F62" i="2"/>
  <c r="E62" i="2"/>
  <c r="D62" i="2"/>
  <c r="C62" i="2"/>
  <c r="B62" i="2"/>
  <c r="I61" i="2"/>
  <c r="H61" i="2"/>
  <c r="G61" i="2"/>
  <c r="F61" i="2"/>
  <c r="E61" i="2"/>
  <c r="D61" i="2"/>
  <c r="C61" i="2"/>
  <c r="B61" i="2"/>
  <c r="I60" i="2"/>
  <c r="H60" i="2"/>
  <c r="G60" i="2"/>
  <c r="F60" i="2"/>
  <c r="E60" i="2"/>
  <c r="D60" i="2"/>
  <c r="C60" i="2"/>
  <c r="B60" i="2"/>
  <c r="I59" i="2"/>
  <c r="H59" i="2"/>
  <c r="G59" i="2"/>
  <c r="F59" i="2"/>
  <c r="E59" i="2"/>
  <c r="D59" i="2"/>
  <c r="C59" i="2"/>
  <c r="B59" i="2"/>
  <c r="I58" i="2"/>
  <c r="H58" i="2"/>
  <c r="G58" i="2"/>
  <c r="F58" i="2"/>
  <c r="E58" i="2"/>
  <c r="D58" i="2"/>
  <c r="C58" i="2"/>
  <c r="B58" i="2"/>
  <c r="I57" i="2"/>
  <c r="H57" i="2"/>
  <c r="G57" i="2"/>
  <c r="F57" i="2"/>
  <c r="E57" i="2"/>
  <c r="D57" i="2"/>
  <c r="C57" i="2"/>
  <c r="B57" i="2"/>
  <c r="I56" i="2"/>
  <c r="H56" i="2"/>
  <c r="G56" i="2"/>
  <c r="F56" i="2"/>
  <c r="E56" i="2"/>
  <c r="D56" i="2"/>
  <c r="C56" i="2"/>
  <c r="B56" i="2"/>
  <c r="I55" i="2"/>
  <c r="H55" i="2"/>
  <c r="G55" i="2"/>
  <c r="F55" i="2"/>
  <c r="E55" i="2"/>
  <c r="D55" i="2"/>
  <c r="C55" i="2"/>
  <c r="B55" i="2"/>
  <c r="I54" i="2"/>
  <c r="H54" i="2"/>
  <c r="G54" i="2"/>
  <c r="F54" i="2"/>
  <c r="E54" i="2"/>
  <c r="D54" i="2"/>
  <c r="C54" i="2"/>
  <c r="B54" i="2"/>
  <c r="I53" i="2"/>
  <c r="H53" i="2"/>
  <c r="G53" i="2"/>
  <c r="F53" i="2"/>
  <c r="E53" i="2"/>
  <c r="D53" i="2"/>
  <c r="C53" i="2"/>
  <c r="B53" i="2"/>
  <c r="I52" i="2"/>
  <c r="H52" i="2"/>
  <c r="G52" i="2"/>
  <c r="F52" i="2"/>
  <c r="E52" i="2"/>
  <c r="D52" i="2"/>
  <c r="C52" i="2"/>
  <c r="B52" i="2"/>
  <c r="I51" i="2"/>
  <c r="H51" i="2"/>
  <c r="G51" i="2"/>
  <c r="F51" i="2"/>
  <c r="E51" i="2"/>
  <c r="D51" i="2"/>
  <c r="C51" i="2"/>
  <c r="B51" i="2"/>
  <c r="I50" i="2"/>
  <c r="H50" i="2"/>
  <c r="G50" i="2"/>
  <c r="F50" i="2"/>
  <c r="E50" i="2"/>
  <c r="D50" i="2"/>
  <c r="C50" i="2"/>
  <c r="B50" i="2"/>
  <c r="I49" i="2"/>
  <c r="H49" i="2"/>
  <c r="G49" i="2"/>
  <c r="F49" i="2"/>
  <c r="E49" i="2"/>
  <c r="D49" i="2"/>
  <c r="C49" i="2"/>
  <c r="B49" i="2"/>
  <c r="I48" i="2"/>
  <c r="H48" i="2"/>
  <c r="G48" i="2"/>
  <c r="F48" i="2"/>
  <c r="E48" i="2"/>
  <c r="D48" i="2"/>
  <c r="C48" i="2"/>
  <c r="B48" i="2"/>
  <c r="I47" i="2"/>
  <c r="H47" i="2"/>
  <c r="G47" i="2"/>
  <c r="F47" i="2"/>
  <c r="E47" i="2"/>
  <c r="D47" i="2"/>
  <c r="C47" i="2"/>
  <c r="B47" i="2"/>
  <c r="I46" i="2"/>
  <c r="H46" i="2"/>
  <c r="G46" i="2"/>
  <c r="F46" i="2"/>
  <c r="E46" i="2"/>
  <c r="D46" i="2"/>
  <c r="C46" i="2"/>
  <c r="B46" i="2"/>
  <c r="I45" i="2"/>
  <c r="H45" i="2"/>
  <c r="G45" i="2"/>
  <c r="F45" i="2"/>
  <c r="E45" i="2"/>
  <c r="D45" i="2"/>
  <c r="C45" i="2"/>
  <c r="B45" i="2"/>
  <c r="I44" i="2"/>
  <c r="H44" i="2"/>
  <c r="G44" i="2"/>
  <c r="F44" i="2"/>
  <c r="E44" i="2"/>
  <c r="D44" i="2"/>
  <c r="C44" i="2"/>
  <c r="B44" i="2"/>
  <c r="I43" i="2"/>
  <c r="H43" i="2"/>
  <c r="G43" i="2"/>
  <c r="F43" i="2"/>
  <c r="E43" i="2"/>
  <c r="D43" i="2"/>
  <c r="C43" i="2"/>
  <c r="B43" i="2"/>
  <c r="I42" i="2"/>
  <c r="H42" i="2"/>
  <c r="G42" i="2"/>
  <c r="F42" i="2"/>
  <c r="E42" i="2"/>
  <c r="D42" i="2"/>
  <c r="C42" i="2"/>
  <c r="B42" i="2"/>
  <c r="I41" i="2"/>
  <c r="H41" i="2"/>
  <c r="G41" i="2"/>
  <c r="F41" i="2"/>
  <c r="E41" i="2"/>
  <c r="D41" i="2"/>
  <c r="C41" i="2"/>
  <c r="B41" i="2"/>
  <c r="I40" i="2"/>
  <c r="H40" i="2"/>
  <c r="G40" i="2"/>
  <c r="F40" i="2"/>
  <c r="E40" i="2"/>
  <c r="D40" i="2"/>
  <c r="C40" i="2"/>
  <c r="B40" i="2"/>
  <c r="I39" i="2"/>
  <c r="H39" i="2"/>
  <c r="G39" i="2"/>
  <c r="F39" i="2"/>
  <c r="E39" i="2"/>
  <c r="D39" i="2"/>
  <c r="C39" i="2"/>
  <c r="B39" i="2"/>
  <c r="I38" i="2"/>
  <c r="H38" i="2"/>
  <c r="G38" i="2"/>
  <c r="F38" i="2"/>
  <c r="E38" i="2"/>
  <c r="D38" i="2"/>
  <c r="C38" i="2"/>
  <c r="B38" i="2"/>
  <c r="I37" i="2"/>
  <c r="H37" i="2"/>
  <c r="G37" i="2"/>
  <c r="F37" i="2"/>
  <c r="E37" i="2"/>
  <c r="D37" i="2"/>
  <c r="C37" i="2"/>
  <c r="B37" i="2"/>
  <c r="I36" i="2"/>
  <c r="H36" i="2"/>
  <c r="G36" i="2"/>
  <c r="F36" i="2"/>
  <c r="E36" i="2"/>
  <c r="D36" i="2"/>
  <c r="C36" i="2"/>
  <c r="B36" i="2"/>
  <c r="I35" i="2"/>
  <c r="H35" i="2"/>
  <c r="G35" i="2"/>
  <c r="F35" i="2"/>
  <c r="E35" i="2"/>
  <c r="D35" i="2"/>
  <c r="C35" i="2"/>
  <c r="B35" i="2"/>
  <c r="I34" i="2"/>
  <c r="H34" i="2"/>
  <c r="G34" i="2"/>
  <c r="F34" i="2"/>
  <c r="E34" i="2"/>
  <c r="D34" i="2"/>
  <c r="C34" i="2"/>
  <c r="B34" i="2"/>
  <c r="I33" i="2"/>
  <c r="H33" i="2"/>
  <c r="G33" i="2"/>
  <c r="F33" i="2"/>
  <c r="E33" i="2"/>
  <c r="D33" i="2"/>
  <c r="C33" i="2"/>
  <c r="B33" i="2"/>
  <c r="I32" i="2"/>
  <c r="H32" i="2"/>
  <c r="G32" i="2"/>
  <c r="F32" i="2"/>
  <c r="E32" i="2"/>
  <c r="D32" i="2"/>
  <c r="C32" i="2"/>
  <c r="B32" i="2"/>
  <c r="I31" i="2"/>
  <c r="H31" i="2"/>
  <c r="G31" i="2"/>
  <c r="F31" i="2"/>
  <c r="E31" i="2"/>
  <c r="D31" i="2"/>
  <c r="C31" i="2"/>
  <c r="B31" i="2"/>
  <c r="I30" i="2"/>
  <c r="H30" i="2"/>
  <c r="G30" i="2"/>
  <c r="F30" i="2"/>
  <c r="E30" i="2"/>
  <c r="D30" i="2"/>
  <c r="C30" i="2"/>
  <c r="B30" i="2"/>
  <c r="I29" i="2"/>
  <c r="H29" i="2"/>
  <c r="G29" i="2"/>
  <c r="F29" i="2"/>
  <c r="E29" i="2"/>
  <c r="D29" i="2"/>
  <c r="C29" i="2"/>
  <c r="B29" i="2"/>
  <c r="I28" i="2"/>
  <c r="H28" i="2"/>
  <c r="G28" i="2"/>
  <c r="F28" i="2"/>
  <c r="E28" i="2"/>
  <c r="D28" i="2"/>
  <c r="C28" i="2"/>
  <c r="B28" i="2"/>
  <c r="I27" i="2"/>
  <c r="H27" i="2"/>
  <c r="G27" i="2"/>
  <c r="F27" i="2"/>
  <c r="E27" i="2"/>
  <c r="D27" i="2"/>
  <c r="C27" i="2"/>
  <c r="B27" i="2"/>
  <c r="I26" i="2"/>
  <c r="H26" i="2"/>
  <c r="G26" i="2"/>
  <c r="F26" i="2"/>
  <c r="E26" i="2"/>
  <c r="D26" i="2"/>
  <c r="C26" i="2"/>
  <c r="B26" i="2"/>
  <c r="I25" i="2"/>
  <c r="H25" i="2"/>
  <c r="G25" i="2"/>
  <c r="F25" i="2"/>
  <c r="E25" i="2"/>
  <c r="D25" i="2"/>
  <c r="C25" i="2"/>
  <c r="B25" i="2"/>
  <c r="I24" i="2"/>
  <c r="H24" i="2"/>
  <c r="G24" i="2"/>
  <c r="F24" i="2"/>
  <c r="E24" i="2"/>
  <c r="D24" i="2"/>
  <c r="C24" i="2"/>
  <c r="B24" i="2"/>
  <c r="I23" i="2"/>
  <c r="H23" i="2"/>
  <c r="G23" i="2"/>
  <c r="F23" i="2"/>
  <c r="E23" i="2"/>
  <c r="D23" i="2"/>
  <c r="C23" i="2"/>
  <c r="B23" i="2"/>
  <c r="I22" i="2"/>
  <c r="H22" i="2"/>
  <c r="G22" i="2"/>
  <c r="F22" i="2"/>
  <c r="E22" i="2"/>
  <c r="D22" i="2"/>
  <c r="C22" i="2"/>
  <c r="B22" i="2"/>
  <c r="I21" i="2"/>
  <c r="H21" i="2"/>
  <c r="G21" i="2"/>
  <c r="F21" i="2"/>
  <c r="E21" i="2"/>
  <c r="D21" i="2"/>
  <c r="C21" i="2"/>
  <c r="B21" i="2"/>
  <c r="I20" i="2"/>
  <c r="H20" i="2"/>
  <c r="G20" i="2"/>
  <c r="F20" i="2"/>
  <c r="E20" i="2"/>
  <c r="D20" i="2"/>
  <c r="C20" i="2"/>
  <c r="B20" i="2"/>
  <c r="I19" i="2"/>
  <c r="H19" i="2"/>
  <c r="G19" i="2"/>
  <c r="F19" i="2"/>
  <c r="E19" i="2"/>
  <c r="D19" i="2"/>
  <c r="C19" i="2"/>
  <c r="B19" i="2"/>
  <c r="I18" i="2"/>
  <c r="H18" i="2"/>
  <c r="G18" i="2"/>
  <c r="F18" i="2"/>
  <c r="E18" i="2"/>
  <c r="D18" i="2"/>
  <c r="C18" i="2"/>
  <c r="B18" i="2"/>
  <c r="I17" i="2"/>
  <c r="H17" i="2"/>
  <c r="G17" i="2"/>
  <c r="F17" i="2"/>
  <c r="E17" i="2"/>
  <c r="D17" i="2"/>
  <c r="C17" i="2"/>
  <c r="B17" i="2"/>
  <c r="I16" i="2"/>
  <c r="H16" i="2"/>
  <c r="G16" i="2"/>
  <c r="F16" i="2"/>
  <c r="E16" i="2"/>
  <c r="D16" i="2"/>
  <c r="C16" i="2"/>
  <c r="B16" i="2"/>
  <c r="I15" i="2"/>
  <c r="H15" i="2"/>
  <c r="G15" i="2"/>
  <c r="F15" i="2"/>
  <c r="E15" i="2"/>
  <c r="D15" i="2"/>
  <c r="C15" i="2"/>
  <c r="B15" i="2"/>
  <c r="I14" i="2"/>
  <c r="H14" i="2"/>
  <c r="G14" i="2"/>
  <c r="F14" i="2"/>
  <c r="E14" i="2"/>
  <c r="D14" i="2"/>
  <c r="C14" i="2"/>
  <c r="B14" i="2"/>
  <c r="I13" i="2"/>
  <c r="H13" i="2"/>
  <c r="G13" i="2"/>
  <c r="F13" i="2"/>
  <c r="E13" i="2"/>
  <c r="D13" i="2"/>
  <c r="C13" i="2"/>
  <c r="B13" i="2"/>
  <c r="I12" i="2"/>
  <c r="H12" i="2"/>
  <c r="G12" i="2"/>
  <c r="F12" i="2"/>
  <c r="E12" i="2"/>
  <c r="D12" i="2"/>
  <c r="C12" i="2"/>
  <c r="B12" i="2"/>
  <c r="I11" i="2"/>
  <c r="H11" i="2"/>
  <c r="G11" i="2"/>
  <c r="F11" i="2"/>
  <c r="E11" i="2"/>
  <c r="D11" i="2"/>
  <c r="C11" i="2"/>
  <c r="B11" i="2"/>
  <c r="I10" i="2"/>
  <c r="H10" i="2"/>
  <c r="G10" i="2"/>
  <c r="F10" i="2"/>
  <c r="E10" i="2"/>
  <c r="D10" i="2"/>
  <c r="C10" i="2"/>
  <c r="B10" i="2"/>
  <c r="I9" i="2"/>
  <c r="H9" i="2"/>
  <c r="G9" i="2"/>
  <c r="F9" i="2"/>
  <c r="E9" i="2"/>
  <c r="D9" i="2"/>
  <c r="C9" i="2"/>
  <c r="B9" i="2"/>
  <c r="I8" i="2"/>
  <c r="H8" i="2"/>
  <c r="G8" i="2"/>
  <c r="F8" i="2"/>
  <c r="E8" i="2"/>
  <c r="D8" i="2"/>
  <c r="C8" i="2"/>
  <c r="B8" i="2"/>
  <c r="I7" i="2"/>
  <c r="H7" i="2"/>
  <c r="G7" i="2"/>
  <c r="F7" i="2"/>
  <c r="E7" i="2"/>
  <c r="D7" i="2"/>
  <c r="C7" i="2"/>
  <c r="B7" i="2"/>
  <c r="I6" i="2"/>
  <c r="H6" i="2"/>
  <c r="G6" i="2"/>
  <c r="F6" i="2"/>
  <c r="E6" i="2"/>
  <c r="D6" i="2"/>
  <c r="C6" i="2"/>
  <c r="B6" i="2"/>
  <c r="I5" i="2"/>
  <c r="H5" i="2"/>
  <c r="G5" i="2"/>
  <c r="F5" i="2"/>
  <c r="E5" i="2"/>
  <c r="D5" i="2"/>
  <c r="C5" i="2"/>
  <c r="B5" i="2"/>
  <c r="I4" i="2"/>
  <c r="H4" i="2"/>
  <c r="G4" i="2"/>
  <c r="F4" i="2"/>
  <c r="E4" i="2"/>
  <c r="D4" i="2"/>
  <c r="C4" i="2"/>
  <c r="B4" i="2"/>
  <c r="I3" i="2"/>
  <c r="H3" i="2"/>
  <c r="G3" i="2"/>
  <c r="F3" i="2"/>
  <c r="E3" i="2"/>
  <c r="D3" i="2"/>
  <c r="C3" i="2"/>
  <c r="B3" i="2"/>
  <c r="I2" i="2"/>
  <c r="H2" i="2"/>
  <c r="G2" i="2"/>
  <c r="F2" i="2"/>
  <c r="E2" i="2"/>
  <c r="D2" i="2"/>
  <c r="C2" i="2"/>
  <c r="B2" i="2"/>
</calcChain>
</file>

<file path=xl/sharedStrings.xml><?xml version="1.0" encoding="utf-8"?>
<sst xmlns="http://schemas.openxmlformats.org/spreadsheetml/2006/main" count="6715" uniqueCount="5771">
  <si>
    <t>rayyan_key</t>
  </si>
  <si>
    <t>title</t>
  </si>
  <si>
    <t>year</t>
  </si>
  <si>
    <t>month</t>
  </si>
  <si>
    <t>day</t>
  </si>
  <si>
    <t>journal</t>
  </si>
  <si>
    <t>issn</t>
  </si>
  <si>
    <t>volume</t>
  </si>
  <si>
    <t>issue</t>
  </si>
  <si>
    <t>pages</t>
  </si>
  <si>
    <t>authors</t>
  </si>
  <si>
    <t>url</t>
  </si>
  <si>
    <t>language</t>
  </si>
  <si>
    <t>publisher</t>
  </si>
  <si>
    <t>location</t>
  </si>
  <si>
    <t>abstract</t>
  </si>
  <si>
    <t>notes</t>
  </si>
  <si>
    <t>doi</t>
  </si>
  <si>
    <t>keywords</t>
  </si>
  <si>
    <t>pubmed_id</t>
  </si>
  <si>
    <t>pmc_id</t>
  </si>
  <si>
    <t>rayyan-83177405</t>
  </si>
  <si>
    <t>Collaborative Adaptive Rangeland Management Fosters Management-Science Partnerships</t>
  </si>
  <si>
    <t>Rangeland Ecology &amp; Management</t>
  </si>
  <si>
    <t>1550-7424</t>
  </si>
  <si>
    <t>646-657</t>
  </si>
  <si>
    <t>Wilmer H and Derner J D and Fernandez-Gimenez M E and Briske D D and Augustine D J and Porensky L M and Grp Carm Stakeholder</t>
  </si>
  <si>
    <t>&lt;Go to ISI&gt;://WOS:000446859300014</t>
  </si>
  <si>
    <t>Wilmer, Hailey Derner, Justin D. Fernandez-Gimenez, Maria E. Briske, David D. Augustine, David J. Porensky, Lauren M. Augustine, David/0000-0003-3144-0466; Derner, Justin/0000-0001-8076-0736; Fernandez-Gimenez, Maria/0000-0001-9641-1434 1551-5028 | RAYYAN-INCLUSION: {"Philip"=&gt;"Excluded", "fereshteh"=&gt;"Excluded", "Iris"=&gt;"Included", "Sarah"=&gt;"Included", "Nibedita"=&gt;"Maybe", "Alec"=&gt;"Included", "Alvaro"=&gt;"Included"}</t>
  </si>
  <si>
    <t>10.1016/j.rama.2017.07.008</t>
  </si>
  <si>
    <t>eppi-reviewer</t>
  </si>
  <si>
    <t>rayyan-83177406</t>
  </si>
  <si>
    <t>Entomological Society of America and Science Policy Engagement</t>
  </si>
  <si>
    <t>Annals of the Entomological Society of America</t>
  </si>
  <si>
    <t>62-70</t>
  </si>
  <si>
    <t>Wiedenmann Robert N and Zalom Frank G and Cadwalader Erin L and Alleyne Marianne and Stelzig Chris J</t>
  </si>
  <si>
    <t>http://0-search.ebscohost.com.catalogue.libraries.london.ac.uk/login.aspx?direct=true&amp;db=a9h&amp;AN=135201611&amp;site=ehost-live</t>
  </si>
  <si>
    <t>Wiedenmann, Robert N 1; Email Address: rwieden@uark.edu Zalom, Frank G 2 Cadwalader, Erin L 3 Alleyne, Marianne 4 Stelzig, Chris J 5; Affiliation: 1: Department of Entomology, University of Arkansas, Fayetteville, AR 2: Department of Entomology and Nematology, University of California, Davis, CA 3: Lewis-Burke Associates LLC, Washington, DC 4: Department of Entomology, University of Illinois, Urbana, IL 5: Entomological Society of America, Annapolis, MD; Source Info: Mar2019, Vol. 112 Issue 2, p62; Subject Term: ENTOMOLOGISTS; Subject Term: ENTOMOLOGY; Subject Term: SCIENCE &amp;amp; state; Author-Supplied Keyword: Grand Challenges; Author-Supplied Keyword: policy fellows; Author-Supplied Keyword: science advocacy; Company/Entity: ENTOMOLOGICAL Society of America Company/Entity: UNITED States. Environmental Protection Agency; NAICS/Industry Codes: 541690 Other Scientific and Technical Consulting Services; NAICS/Industry Codes: 924110 Administration of Air and Water Resource and Solid Waste Management Programs; Number of Pages: 9p; Document Type: Article; Full Text Word Count: 8597 | RAYYAN-INCLUSION: {"Philip"=&gt;"Excluded", "Nibedita"=&gt;"Excluded", "Alec"=&gt;"Excluded", "Alvaro"=&gt;"Excluded"}</t>
  </si>
  <si>
    <t>10.1093/aesa/say060</t>
  </si>
  <si>
    <t>eppi-reviewer;ENTOMOLOGISTS ENTOMOLOGY SCIENCE &amp;;tate Grand Challenge;policy fellow;cience advocacy ENTOMOLOGICAL Society of America UNITED State;Environmental Protection Agency</t>
  </si>
  <si>
    <t>rayyan-83177407</t>
  </si>
  <si>
    <t>The need for transformative changes in the use of Indigenous knowledge along with science for environmental decision-making in the Arctic</t>
  </si>
  <si>
    <t>People and Nature</t>
  </si>
  <si>
    <t>544-556</t>
  </si>
  <si>
    <t>Wheeler H C and Danielsen F and Fidel M and Hausner V and Horstkotte T and Johnson N and Lee O and Mukherjee N and Amos A and Ashthorn H and Ballari O and Behe C and Breton-Honeyman K and Retter G B and Buschman V and Jakobsen P and Johnson F and Lyberth B and Parrott J A and Pogodaev M and Sulyandziga R and Vronski N</t>
  </si>
  <si>
    <t>&lt;Go to ISI&gt;://WOS:000647696100003</t>
  </si>
  <si>
    <t>Wheeler, Helen C. Danielsen, Finn Fidel, Maryann Hausner, Vera Horstkotte, Tim Johnson, Noor Lee, Olivia Mukherjee, Nibedita Amos, Amy Ashthorn, Heather Ballari, Oystein Behe, Carolina Breton-Honeyman, Kaitlin Retter, Gunn-Britt Buschman, Victoria Jakobsen, Paviarak Johnson, Frank Lyberth, Bjarne Parrott, Jennifer A. Pogodaev, Mikhail Sulyandziga, Rodion Vronski, Nikita Mukherjee, Nibedita/B-2531-2010 Mukherjee, Nibedita/0000-0002-2970-1498; Behe, Carolina/0000-0002-8141-8550; Hausner, Vera Helene/0000-0001-9825-0419; Wheeler, Helen/0000-0002-9820-5818 2575-8314 | RAYYAN-INCLUSION: {"Matthew"=&gt;"Excluded", "Philip"=&gt;"Excluded", "fereshteh"=&gt;"Excluded", "Aidan"=&gt;"Excluded", "Nibedita"=&gt;"Included", "Alec"=&gt;"Included", "Alvaro"=&gt;"Excluded"}</t>
  </si>
  <si>
    <t>10.1002/pan3.10131</t>
  </si>
  <si>
    <t>rayyan-83177408</t>
  </si>
  <si>
    <t>Increasing the uptake of ecological model results in policy decisions to improve biodiversity outcomes</t>
  </si>
  <si>
    <t>Environmental Modelling &amp; Software</t>
  </si>
  <si>
    <t>1364-8152</t>
  </si>
  <si>
    <t>Weiskopf S R and Harmackova Z V and Johnson C G and Londono-Murcia M C and Miller B W and Myers B J. E and Pereira L and Arce-Plata M I and Blanchard J L and Ferrier S and Fulton E A and Harfoot M and Isbell F and Johnson J A and Mori A S and Weng E S and Rosa I M. D</t>
  </si>
  <si>
    <t>&lt;Go to ISI&gt;://WOS:000787109500005</t>
  </si>
  <si>
    <t>Weiskopf, Sarah R. Harmackova, Zuzana, V Johnson, Ciara G. Londono-Murcia, Maria Cecilia Miller, Brian W. Myers, Bonnie J. E. Pereira, Laura Arce-Plata, Maria Isabel Blanchard, Julia L. Ferrier, Simon Fulton, Elizabeth A. Harfoot, Mike Isbell, Forest Johnson, Justin A. Mori, Akira S. Weng, Ensheng Rosa, Isabel M. D. Miller, Brian/0000-0003-1716-1161; Isbell, Forest/0000-0001-9689-769X; Weiskopf, Sarah/0000-0002-5933-8191 1873-6726 | RAYYAN-INCLUSION: {"Matthew"=&gt;"Excluded", "Philip"=&gt;"Included", "Alice"=&gt;"Excluded", "Carlos"=&gt;"Excluded", "Tabitha"=&gt;"Included", "Prishnee"=&gt;"Included", "Valentin"=&gt;"Excluded", "Elina"=&gt;"Included", "fereshteh"=&gt;"Excluded", "Aidan"=&gt;"Included", "Tiff"=&gt;"Excluded", "Iris"=&gt;"Included", "Sarah"=&gt;"Excluded", "Nibedita"=&gt;"Included", "Alec"=&gt;"Excluded", "Alvaro"=&gt;"Excluded", "Isobel"=&gt;"Included"}</t>
  </si>
  <si>
    <t>10.1016/j.envsoft.2022.105318</t>
  </si>
  <si>
    <t>rayyan-83177409</t>
  </si>
  <si>
    <t>Blueprints of Effective Biodiversity and Conservation Knowledge Products That Support Marine Policy</t>
  </si>
  <si>
    <t>Frontiers in Marine Science</t>
  </si>
  <si>
    <t>Weatherdon L V and Appeltans W and Bowles-Newark N and Brooks T M and Davis F E and Despot-Belmonte K and Fletcher S and Garilao C and Hilton-Taylor C and Hirsch T and Juffe-Bignoli D and Kaschner K and Kingston N and Malsch K and Regan E C and Kesner-Reyes K and Rose D C and Wetzel F T and Wilkinson T and Martin C S</t>
  </si>
  <si>
    <t>&lt;Go to ISI&gt;://WOS:000457690600096</t>
  </si>
  <si>
    <t>Weatherdon, Lauren V. Appeltans, Ward Bowles-Newark, Nadine Brooks, Thomas M. Davis, Frances E. Despot-Belmonte, Katherine Fletcher, Stephen Garilao, Cristina Hilton-Taylor, Craig Hirsch, Tim Juffe-Bignoli, Diego Kaschner, Kristin Kingston, Naomi Malsch, Kelly Regan, Eugenie C. Kesner-Reyes, Kathleen Rose, David C. Wetzel, Florian T. Wilkinson, Tim Martin, Corinne S. ; Martin, Corinne/G-9041-2011 Weatherdon, Lauren V./0000-0002-3989-027X; Rose, David/0000-0002-5249-9021; Hirsch, Tim/0000-0002-5015-5807; Fletcher, Stephen/0000-0003-1180-9844; Martin, Corinne/0000-0002-5428-2766; Kaschner, Kristin/0000-0002-4061-626X 2296-7745 | RAYYAN-INCLUSION: {"Matthew"=&gt;"Excluded", "Philip"=&gt;"Excluded", "Alice"=&gt;"Excluded", "Carlos"=&gt;"Excluded", "Tabitha"=&gt;"Excluded", "Prishnee"=&gt;"Excluded", "Valentin"=&gt;"Excluded", "Elina"=&gt;"Excluded", "fereshteh"=&gt;"Included", "Aidan"=&gt;"Excluded", "Tiff"=&gt;"Included", "Iris"=&gt;"Excluded", "Sarah"=&gt;"Excluded", "Nibedita"=&gt;"Excluded", "Alec"=&gt;"Excluded", "Isobel"=&gt;"Excluded"}</t>
  </si>
  <si>
    <t>10.3389/fmars.2017.00096</t>
  </si>
  <si>
    <t>rayyan-83177410</t>
  </si>
  <si>
    <t>EKLIPSE: engaging knowledge holders and networks for evidence-informed European policy on biodiversity and ecosystem services</t>
  </si>
  <si>
    <t>Evidence &amp; Policy</t>
  </si>
  <si>
    <t>1744-2648</t>
  </si>
  <si>
    <t>253-264</t>
  </si>
  <si>
    <t>Watt A and Ainsworth G and Balian E and Cojocaru G and Darbi M and Dicks L and Eggermont H and Furman E and Goudeseune L and Huybrecht P and Kelemen E and Koch F and Konstantinou Z and Livoreil B and Locher K and Lux A and Mehring M and Nesshoever C and Paloniemi R and Saarikoski H and Pinto I S and Vandewalle M and Varjopuro R and Varumo L and Wittmer H and Young J</t>
  </si>
  <si>
    <t>&lt;Go to ISI&gt;://WOS:000471772800006</t>
  </si>
  <si>
    <t>Watt, Allan Ainsworth, Gill Balian, Estelle Cojocaru, George Darbi, Marianne Dicks, Lynn Eggermont, Hilde Furman, Eeva Goudeseune, Lise Huybrecht, Pierre Kelemen, Eszter Koch, Florian Konstantinou, Zoi Livoreil, Barbara Locher, Karla Lux, Alexandra Mehring, Marion Nesshoever, Carsten Paloniemi, Riikka Saarikoski, Heti Pinto, Isabel Sousa Vandewalle, Marie Varjopuro, Riku Varumo, Liisa Wittmer, Heidi Young, Juliette Pinto, Isabel Sousa/W-1591-2019; Wittmer, Heidi/H-7264-2012; Dicks, Lynn/AFH-5289-2022; Young, Juliette/B-4225-2012; Koch, Florian/F-2504-2015; Ainsworth, Gill/P-3013-2019 Pinto, Isabel Sousa/0000-0002-9231-0553; Wittmer, Heidi/0000-0001-6966-7258; Young, Juliette/0000-0002-8522-0883; Koch, Florian/0000-0002-0343-0730; Ainsworth, Gill/0000-0003-0460-6563; Goudeseune, Lise/0000-0002-4239-3338; Lux, Alexandra/0000-0002-6626-7977; Vandewalle, Marie/0000-0003-3619-9763; Cojocaru, George/0000-0002-1432-364X; Dicks, Lynn/0000-0002-8304-4468 1744-2656 | RAYYAN-INCLUSION: {"Matthew"=&gt;"Excluded", "Philip"=&gt;"Excluded", "Alice"=&gt;"Excluded", "Carlos"=&gt;"Excluded", "Tabitha"=&gt;"Excluded", "Prishnee"=&gt;"Excluded", "Valentin"=&gt;"Excluded", "Elina"=&gt;"Excluded", "fereshteh"=&gt;"Included", "Aidan"=&gt;"Excluded", "Tiff"=&gt;"Excluded", "Iris"=&gt;"Excluded", "Sarah"=&gt;"Excluded", "Nibedita"=&gt;"Excluded", "Alec"=&gt;"Excluded", "Isobel"=&gt;"Excluded"}</t>
  </si>
  <si>
    <t>10.1332/174426418x15314036194114</t>
  </si>
  <si>
    <t>rayyan-83177411</t>
  </si>
  <si>
    <t>Characteristics of participatory monitoring projects and their relationship to decision-making in biological resource management: a review</t>
  </si>
  <si>
    <t>Biodiversity and Conservation</t>
  </si>
  <si>
    <t>0960-3115</t>
  </si>
  <si>
    <t>2001-2019</t>
  </si>
  <si>
    <t>Villasenor E and Porter-Bolland L and Escobar F and Guariguata M R and Moreno-Casasola P</t>
  </si>
  <si>
    <t>&lt;Go to ISI&gt;://WOS:000382014400001</t>
  </si>
  <si>
    <t>Villasenor, Emma Porter-Bolland, Luciana Escobar, Federico Guariguata, Manuel R. Moreno-Casasola, Patricia VILLASEÃ‘OR, EMMA/AAR-7143-2021; Escobar, Federico/C-1396-2011; Porter-Bolland, Luciana/C-1398-2016; Moreno-Casasola, Patricia/R-8562-2018; Bolland, Luciana Porter/AAH-4895-2020 Escobar, Federico/0000-0003-0179-7528; Porter-Bolland, Luciana/0000-0001-8586-3267; Moreno-Casasola, Patricia/0000-0003-0468-0851; Bolland, Luciana Porter/0000-0001-8586-3267 1572-9710 | RAYYAN-INCLUSION: {"Philip"=&gt;"Excluded", "fereshteh"=&gt;"Excluded", "Sarah"=&gt;"Excluded", "Nibedita"=&gt;"Excluded", "Alec"=&gt;"Excluded"}</t>
  </si>
  <si>
    <t>10.1007/s10531-016-1184-9</t>
  </si>
  <si>
    <t>rayyan-83177413</t>
  </si>
  <si>
    <t>What do scientists and managers know about soil biodiversity? Comparative knowledge mapping for sustainable forest management</t>
  </si>
  <si>
    <t>Forest Policy and Economics</t>
  </si>
  <si>
    <t>1389-9341</t>
  </si>
  <si>
    <t>Vanermen I and Muys B and Verheyen K and Vanwindekens F and Bouriaud L and Kardol P and Vranken L</t>
  </si>
  <si>
    <t>&lt;Go to ISI&gt;://WOS:000568682900010</t>
  </si>
  <si>
    <t>Vanermen, Iris Muys, Bart Verheyen, Kris Vanwindekens, Frederic Bouriaud, Laura Kardol, Paul Vranken, Liesbet Kardol, Paul/N-8383-2015; Vranken, Liesbet/Q-1710-2018; BITOUN, RACHEL/AAC-9538-2021; Muys, Bart/A-3194-2015 Kardol, Paul/0000-0001-7065-3435; Vranken, Liesbet/0000-0003-1170-1139; Muys, Bart/0000-0001-9421-527X; Vanwindekens, Frederic/0000-0002-9117-7543 1872-7050 | RAYYAN-INCLUSION: {"Philip"=&gt;"Excluded", "Alice"=&gt;"Excluded", "fereshteh"=&gt;"Excluded", "Nibedita"=&gt;"Excluded", "Alec"=&gt;"Excluded"}</t>
  </si>
  <si>
    <t>10.1016/j.forpol.2020.102264</t>
  </si>
  <si>
    <t>rayyan-83177414</t>
  </si>
  <si>
    <t>A question of dissemination: Assessing the practices and implications of research in tropical landscapes</t>
  </si>
  <si>
    <t>AMBIO - A Journal of the Human Environment</t>
  </si>
  <si>
    <t>35-47</t>
  </si>
  <si>
    <t>Toomey Anne H and Alvaro MarÃ­a Eugenia Copa and Aiello-Lammens Matthew and Loayza Cossio and Oscar and Barlow Jos</t>
  </si>
  <si>
    <t>http://0-search.ebscohost.com.catalogue.libraries.london.ac.uk/login.aspx?direct=true&amp;db=a9h&amp;AN=133611999&amp;site=ehost-live</t>
  </si>
  <si>
    <t>Toomey, Anne H. 1; Email Address: atoomey@pace.edu Alvaro, MarÃ­a Eugenia Copa 2 Aiello-Lammens, Matthew 1 Loayza Cossio, Oscar 3 Barlow, Jos 4; Affiliation: 1: Department of Environmental Studies and Science, Pace University, 41 Park Row, #721B, 10038, New York, NY, USA 2: ColecciÃ³n Boliviana de Fauna, Calle 26 de Cota Cota (Ovidio SuÃ¡rez) Casilla NÂº 8706, La Paz, Bolivia 3: Madidi-Tambopata Landscape Conservation Program, Wildlife Conservation Society, Casilla 3-35Â 181 SM, La Paz, Bolivia 4: Lancaster Environment Centre, Lancaster University, LA1 4YQ, Bailrigg, Lancashire, UK; Source Info: Jan2019, Vol. 48 Issue 1, p35; Subject Term: SCIENTIFIC knowledge; Subject Term: CONSERVATIONISTS; Subject Term: ENVIRONMENTAL management; Subject Term: UNIVERSITIES &amp;amp; colleges; Subject Term: PARQUE Nacional Madidi (Bolivia); Author-Supplied Keyword: Conservation management; Author-Supplied Keyword: Knowledge exchange; Author-Supplied Keyword: Local perceptions; Author-Supplied Keyword: Research ethics; Author-Supplied Keyword: Research-action; Author-Supplied Keyword: Research-implementation; NAICS/Industry Codes: 611310 Colleges, Universities, and Professional Schools; Number of Pages: 13p; Document Type: Article; Full Text Word Count: 7345 | RAYYAN-INCLUSION: {"Philip"=&gt;"Included", "Tabitha"=&gt;"Included", "fereshteh"=&gt;"Excluded", "Iris"=&gt;"Included", "Alec"=&gt;"Included"}</t>
  </si>
  <si>
    <t>10.1007/s13280-018-1056-5</t>
  </si>
  <si>
    <t>eppi-reviewer;SCIENTIFIC knowledge CONSERVATIONISTS ENVIRONMENTAL management UNIVERSITIES &amp; college;PARQUE Nacional Madidi (Bolivia) Con;ervation management Knowledge exchange Local perception;Re;earch ethic;earch-action Re;earch-implementation</t>
  </si>
  <si>
    <t>rayyan-83177415</t>
  </si>
  <si>
    <t>lEvaluating the outcomes and processes of a research-action partnership: The need for continuous reflective evaluation</t>
  </si>
  <si>
    <t>Bothalia</t>
  </si>
  <si>
    <t>0006-8241</t>
  </si>
  <si>
    <t>Taylor C and Cockburn J and Rouget M and Ray-Mukherjee J and Mukherjee S and Slotow R and Roberts D and Boon R and O'Donoghue S and Douwes E</t>
  </si>
  <si>
    <t>&lt;Go to ISI&gt;://WOS:000389715000011</t>
  </si>
  <si>
    <t>Taylor, Chantal Cockburn, Jessica Rouget, Mathieu Ray-Mukherjee, Jayanti Mukherjee, Shomen Slotow, Rob Roberts, Debra Boon, Richard O'Donoghue, Sean Douwes, Errol Slotow, Rob/AAM-9053-2020 2311-9284 Si | RAYYAN-INCLUSION: {"Philip"=&gt;"Included", "Tabitha"=&gt;"Included", "fereshteh"=&gt;"Excluded", "Alec"=&gt;"Excluded"}</t>
  </si>
  <si>
    <t>10.4102/abc.v46i2.2154</t>
  </si>
  <si>
    <t>rayyan-83177416</t>
  </si>
  <si>
    <t>Researchâ€“management partnerships: An opportunity to integrate genetics in conservation actions</t>
  </si>
  <si>
    <t>Conservation Science &amp; Practice</t>
  </si>
  <si>
    <t>Taft Heather R and McCoskey Dana N and Miller Joshua M and Pearson Sarah K and Coleman Melinda A and Fletcher Nicholas K and Mittan Cinnamon S and Meek Mariah H and Barbosa Soraia</t>
  </si>
  <si>
    <t>http://0-search.ebscohost.com.catalogue.libraries.london.ac.uk/login.aspx?direct=true&amp;db=a9h&amp;AN=145430044&amp;site=ehost-live</t>
  </si>
  <si>
    <t>Taft, Heather R. 1 McCoskey, Dana N. 2 Miller, Joshua M. 3 Pearson, Sarah K. 4 Coleman, Melinda A. 5,6 Fletcher, Nicholas K. 7 Mittan, Cinnamon S. 7 Meek, Mariah H. 8 Barbosa, Soraia 9; Email Address: soraia.barbosa02@gmail.com; Affiliation: 1: Colorado State University Global, Aurora Colorado, USA 2: DC Audubon Society, Washington District of Columbia, USA 3: Department of Biological Sciences, University of Alberta, Edmonton Alberta,, Canada 4: College of Science and Engineering, Flinders University of South Australia, Adelaide South Australia,, Australia 5: Department of Primary Industries NSW Fisheries, National Marine Science Centre, Coffs Harbour New South Wales,, Australia 6: National Marine Science Centre, Southern Cross University, Coffs Harbour New South Wales,, Australia 7: Department of Ecology and Evolutionary Biology, Cornell University, Corson Hall, Ithaca New York, USA 8: Department of Integrative Biology, Michigan State University, East Lansing Michigan, USA 9: Department of Fish and Wildlife Sciences, University of Idaho, Moscow Idaho, USA; Source Info: Sep2020, Vol. 2 Issue 9, p1; Subject Term: CONSERVATION genetics; Subject Term: CONSERVATION biology; Subject Term: BUSINESS partnerships; Subject Term: DATA analysis; Subject Term: STRATEGIC planning; Author-Supplied Keyword: conservation genetics; Author-Supplied Keyword: management; Author-Supplied Keyword: partnerships; Author-Supplied Keyword: researchâ€implementation gap; Number of Pages: 8p; Document Type: Article; Full Text Word Count: 5054 | RAYYAN-INCLUSION: {"Matthew"=&gt;"Included", "Philip"=&gt;"Included", "Alice"=&gt;"Excluded", "Carlos"=&gt;"Included", "Tabitha"=&gt;"Included", "Prishnee"=&gt;"Included", "Valentin"=&gt;"Included", "Elina"=&gt;"Included", "fereshteh"=&gt;"Excluded", "Aidan"=&gt;"Included", "Tiff"=&gt;"Included", "Iris"=&gt;"Included", "Sarah"=&gt;"Included", "Nibedita"=&gt;"Included", "Alec"=&gt;"Included", "Isobel"=&gt;"Included"}</t>
  </si>
  <si>
    <t>10.1111/csp2.218</t>
  </si>
  <si>
    <t>eppi-reviewer;CONSERVATION genetic;CONSERVATION biology BUSINESS partner;hip;DATA analy;i;STRATEGIC planning management partner;re;earchâ€implementation gap</t>
  </si>
  <si>
    <t>rayyan-83177418</t>
  </si>
  <si>
    <t>Challenges and opportunities of engaging biodiversity-related citizen science data in environmental decision-making: Practitioners' perceptions and a database analysis from Estonia</t>
  </si>
  <si>
    <t>Journal for Nature Conservation</t>
  </si>
  <si>
    <t>1617-1381</t>
  </si>
  <si>
    <t>Suskevics M and Raadom T and Vanem B and Kana S and Roasto R and Runnel V and Kulvik M</t>
  </si>
  <si>
    <t>&lt;Go to ISI&gt;://WOS:000709046700010</t>
  </si>
  <si>
    <t>Suskevics, Monika Raadom, Terje Vanem, Brenda Kana, Silja Roasto, Reigo Runnel, Veljo Kulvik, Mart SuÅ¡keviÄs, Monika/H-3666-2017 SuÅ¡keviÄs, Monika/0000-0002-5666-2623 1618-1093 | RAYYAN-INCLUSION: {"Matthew"=&gt;"Included", "Philip"=&gt;"Included", "Alice"=&gt;"Included", "Carlos"=&gt;"Included", "Tabitha"=&gt;"Included", "Prishnee"=&gt;"Included", "Valentin"=&gt;"Included", "Elina"=&gt;"Included", "fereshteh"=&gt;"Excluded", "Aidan"=&gt;"Included", "Tiff"=&gt;"Included", "Iris"=&gt;"Included", "Sarah"=&gt;"Included", "Nibedita"=&gt;"Maybe", "Alec"=&gt;"Included", "Isobel"=&gt;"Included"}</t>
  </si>
  <si>
    <t>10.1016/j.jnc.2021.126068</t>
  </si>
  <si>
    <t>rayyan-83177420</t>
  </si>
  <si>
    <t>Experiences from a National Landscape Monitoring ProgrammeMaintaining Continuity Whilst Meeting Changing Demands and Opportunities</t>
  </si>
  <si>
    <t>Land</t>
  </si>
  <si>
    <t>Stokstad G and Fjellstad W</t>
  </si>
  <si>
    <t>&lt;Go to ISI&gt;://WOS:000472659100005</t>
  </si>
  <si>
    <t>Stokstad, Grete Fjellstad, Wendy Fjellstad, Wendy/AAF-6257-2020 Fjellstad, Wendy Jane/0000-0002-2849-9785 2073-445x | RAYYAN-INCLUSION: {"Philip"=&gt;"Excluded", "fereshteh"=&gt;"Excluded", "Iris"=&gt;"Included", "Alec"=&gt;"Excluded"}</t>
  </si>
  <si>
    <t>10.3390/land8050077</t>
  </si>
  <si>
    <t>rayyan-83177421</t>
  </si>
  <si>
    <t>Unblocking the flow of biodiversity data for decision-making in Africa</t>
  </si>
  <si>
    <t>Biological Conservation</t>
  </si>
  <si>
    <t>335-340</t>
  </si>
  <si>
    <t>Stephenson P J and Bowles-Newark Nadine and Regan Eugenie and Stanwell-Smith Damon and Diagana MallÃ© and HÃ¶ft Robert and Abarchi Harouna and Abrahamse Tanya and Akello Christine and Allison Hilary and Banki Olaf and Batieno Barthelemy and Dieme Samuel and Domingos Arthur and Galt Russell and Githaiga Cicilia W and Guindo Abdoulaye Bine and Hafashimana David L N and Hirsch Tim and Hobern Donald</t>
  </si>
  <si>
    <t>http://0-search.ebscohost.com.catalogue.libraries.london.ac.uk/login.aspx?direct=true&amp;db=a9h&amp;AN=124610497&amp;site=ehost-live</t>
  </si>
  <si>
    <t>Stephenson, P.J. 1; Email Address: StephensonPJ@gmail.com Bowles-Newark, Nadine 2; Email Address: Nadine.Bowles-Newark@unep-wcmc.org Regan, Eugenie 2; Email Address: eugenie.regan@gmail.com Stanwell-Smith, Damon 2; Email Address: stanwellsmith@gmail.com Diagana, MallÃ© 3; Email Address: malle.diagana@iucn.org HÃ¶ft, Robert 4; Email Address: robert.hoft@cbd.int Abarchi, Harouna 5; Email Address: ab_harou@yahoo.fr Abrahamse, Tanya 6; Email Address: abrahamse@sanbi.org Akello, Christine 7; Email Address: cakelloechookit@yahoo.com Allison, Hilary 2; Email Address: Hilary.Allison@unep-wcmc.org Banki, Olaf 8; Email Address: Olaf@Banki.nl Batieno, Barthelemy 9; Email Address: barthelemy.batieno@iucn.org Dieme, Samuel 10; Email Address: sam_casa@yahoo.fr Domingos, Arthur 11; Email Address: aristofanesp@yahoo.com.br Galt, Russell 6; Email Address: R.Galt@sanbi.org.za Githaiga, Cicilia W. 12; Email Address: cgithaiga@nema.go.ke Guindo, Abdoulaye Bine 13; Email Address: abdoulayebine@yahoo.fr Hafashimana, David L.N. 7; Email Address: davidhaf2000@yahoo.com Hirsch, Tim 8; Email Address: thirsch@gbif.org Hobern, Donald 8; Email Address: dhobern@gbif.org; Affiliation: 1: WWF International, Gland, Switzerland 2: United Nations Environment Programme World Conservation Monitoring Centre (UNEP-WCMC), Cambridge, UK 3: WWF West Africa Marine Programme Office, Dakar, Senegal 4: Secretariat of the Convention on Biological Diversity, Montreal, Canada 5: Commission Technique sur la DiversitÃ© Biologique, Niamey, Niger 6: South African National Biodiversity Institute (SANBI), Pretoria, South Africa 7: National Environment Management Authority, Kampala, Uganda 8: Global Biodiversity Information Facility (GBIF), Copenhagen, Denmark 9: IUCN, Nouakchott, Mauritania 10: MinistÃ¨re de l'Environnement et de la Protection de la Nature, Dakar, Senegal 11: Ministry of Environment, Luanda, Angola 12: National Environment Management Authority, Nairobi, Kenya 13: MinistÃ¨re de l'Environnement, de l'Eau et de l'Assainissement, Bamako, Mali; Source Info: Sep2017 Part B, Vol. 213, p335; Subject Term: BIODIVERSITY conservation; Subject Term: DECISION making in environmental policy; Subject Term: ENVIRONMENTAL degradation; Subject Term: SUSTAINABLE development; Subject Term: GOVERNMENT agencies; Author-Supplied Keyword: Africa; Author-Supplied Keyword: Biodiversity; Author-Supplied Keyword: Data management; Author-Supplied Keyword: Environmental decision-making; NAICS/Industry Codes: 913910 Other local, municipal and regional public administration; NAICS/Industry Codes: 911910 Other federal government public administration; NAICS/Industry Codes: 912910 Other provincial and territorial public administration; NAICS/Industry Codes: 921190 Other General Government Support; NAICS/Industry Codes: 926110 Administration of General Economic Programs; Number of Pages: 6p; Document Type: Article | RAYYAN-INCLUSION: {"Matthew"=&gt;"Included", "Philip"=&gt;"Included", "Alice"=&gt;"Included", "Carlos"=&gt;"Included", "Tabitha"=&gt;"Included", "Prishnee"=&gt;"Included", "Valentin"=&gt;"Included", "Elina"=&gt;"Included", "fereshteh"=&gt;"Excluded", "Aidan"=&gt;"Included", "Tiff"=&gt;"Included", "Iris"=&gt;"Included", "Sarah"=&gt;"Included", "Nibedita"=&gt;"Included", "Alec"=&gt;"Included", "Isobel"=&gt;"Included"}</t>
  </si>
  <si>
    <t>10.1016/j.biocon.2016.09.003</t>
  </si>
  <si>
    <t>eppi-reviewer;BIODIVERSITY con;ervation DECISION making in environmental policy ENVIRONMENTAL degradation SUSTAINABLE developmen...;Africa Biodiver;ity Data management Environmental deci;ion-making</t>
  </si>
  <si>
    <t>rayyan-83177422</t>
  </si>
  <si>
    <t>Exploring the usefulness of scenario archetypes in science-policy processes: experience across IPBES assessments</t>
  </si>
  <si>
    <t>Ecology and Society</t>
  </si>
  <si>
    <t>1708-3087</t>
  </si>
  <si>
    <t>Sitas N and Harmackova Z V and Anticamara J A and Arneth A and Badola R and Biggs R and Blanchard R and Brotons L and Cantele M and Coetzer K and DasGupta R and den Belder E and Ghosh S and Guisan A and Gundimeda H and Hamann M and Harrison P A and Hashimoto S and Hauck J and Klatt B J and Kok K and Krug R M and Niamir A and O'Farrell P J and Okayasu S and Palomo I and Pereira L M and Riordan P and Santos-Martin F and Selomane O and Shin Y J and Valle M</t>
  </si>
  <si>
    <t>&lt;Go to ISI&gt;://WOS:000490942000017</t>
  </si>
  <si>
    <t>Sitas, Nadia Harmackova, Zuzana V. Anticamara, Jonathan A. Arneth, Almut Badola, Ruchi Biggs, Reinette Blanchard, Ryan Brotons, Lluis Cantele, Matthew Coetzer, Kaera DasGupta, Rajarshi den Belder, Eefje Ghosh, Sonali Guisan, Antoine Gundimeda, Haripriya Hamann, Maike Harrison, Paula A. Hashimoto, Shizuka Hauck, Jennifer Klatt, Brian J. Kok, Kasper Krug, Rainer M. Niamir, Aidin O'Farrell, Patrick J. Okayasu, Sana Palomo, Ignacio Pereira, Laura M. Riordan, Philip Santos-Martin, Fernando Selomane, Odirilwe Shin, Yunne-Jai Valle, Mireia blanchard, ryan/B-8856-2017; Shin, Yunne-Jai/A-7575-2012; Guisan, Antoine/A-1057-2011; Dasgupta, Rajarshi/AAF-7822-2021; Niamir, Aidin/G-5779-2011; HASHIMOTO, Shizuka/P-5317-2019; Riordan, Philip/AAY-6420-2020; Arneth, Almut/B-2702-2013; DasGupta, Rajarshi/AAX-2695-2021; Pereira, Laura M./L-7258-2013; Biggs, Reinette/A-5155-2010; O'Farrell, Patrick/AAQ-7728-2021; Hauck, Jennifer/P-4115-2017; Selomane, Odirilwe/L-8068-2019; PALOMO, IGNACIO/D-4398-2014; HarmÃ¡ÄkovÃ¡, Zuzana V./G-1886-2014; Valle, Mireia/G-5783-2011 blanchard, ryan/0000-0002-3560-4133; Shin, Yunne-Jai/0000-0002-7259-9265; Guisan, Antoine/0000-0002-3998-4815; Niamir, Aidin/0000-0003-4511-3407; HASHIMOTO, Shizuka/0000-0003-4423-9374; Arneth, Almut/0000-0001-6616-0822; DasGupta, Rajarshi/0000-0003-0051-5090; Pereira, Laura M./0000-0002-4996-7234; Biggs, Reinette/0000-0003-0300-4149; O'Farrell, Patrick/0000-0002-9538-8831; Hauck, Jennifer/0000-0002-1614-9657; Selomane, Odirilwe/0000-0002-6892-4221; PALOMO, IGNACIO/0000-0002-4573-5989; HarmÃ¡ÄkovÃ¡, Zuzana V./0000-0001-7711-4135; Okayasu, Sana/0000-0002-6534-0458; Santos Martin, Fernando/0000-0002-2301-5876; Sitas, Nadia/0000-0003-0888-8617; Kok, Kasper/0000-0002-6319-9227; Riordan, Philip/0000-0001-6285-8596; Valle, Mireia/0000-0001-8517-8518 | RAYYAN-INCLUSION: {"Philip"=&gt;"Included", "Alice"=&gt;"Included", "fereshteh"=&gt;"Included", "Alec"=&gt;"Excluded"}</t>
  </si>
  <si>
    <t>10.5751/es-11039-240335</t>
  </si>
  <si>
    <t>rayyan-83177423</t>
  </si>
  <si>
    <t>The role and value of science in shark conservation advocacy</t>
  </si>
  <si>
    <t>Scientific Reports</t>
  </si>
  <si>
    <t>16626-16626</t>
  </si>
  <si>
    <t>Shiffman D S and Macdonald C C and Wallace S S and Dulvy N K</t>
  </si>
  <si>
    <t>https://ovidsp.ovid.com/ovidweb.cgi?T=JS&amp;CSC=Y&amp;NEWS=N&amp;PAGE=fulltext&amp;D=med19&amp;AN=34404844 https://discover.lshtm.ac.uk/openurl/44HYG/44HYG_services_page?sid=OVID:medline&amp;id=doi:10.1038%2Fs41598-021-96020-4&amp;id=pmid34404844&amp;issn=2045-2322&amp;isbn=&amp;volume=11&amp;issue=1&amp;spage=16626&amp;pages=16626&amp;date=2021&amp;title=Scientific+Reports&amp;atitle=The+role+and+value+of+science+in+shark+conservation+advocacy.&amp;aulast=Shiffman&amp;pid=%3Cauthor%3EShiffman+DS%3BMacdonald+CC%3BWallace+SS%3BDulvy+NK%3C%2Fauthor%3E%3CAN%3E34404844</t>
  </si>
  <si>
    <t>Shiffman, David S. Earth to Oceans Group, Department of Biological Sciences, Simon Fraser University</t>
  </si>
  <si>
    <t>Shiffman, David S Macdonald, Catherine C Wallace, S Scott Dulvy, Nicholas K | RAYYAN-INCLUSION: {"Matthew"=&gt;"Included", "Philip"=&gt;"Included", "Alice"=&gt;"Included", "Carlos"=&gt;"Excluded", "Tabitha"=&gt;"Excluded", "Prishnee"=&gt;"Excluded", "Valentin"=&gt;"Included", "Elina"=&gt;"Excluded", "fereshteh"=&gt;"Included", "Aidan"=&gt;"Included", "Tiff"=&gt;"Excluded", "Iris"=&gt;"Excluded", "Sarah"=&gt;"Included", "Nibedita"=&gt;"Included", "Alec"=&gt;"Included", "Isobel"=&gt;"Included"}</t>
  </si>
  <si>
    <t>rayyan-83177424</t>
  </si>
  <si>
    <t>Harnessing the Power of Community Science to Address Data Gaps in Arctic Observing: Invasive Species in Alaska as Case Examples</t>
  </si>
  <si>
    <t>Arctic Journal</t>
  </si>
  <si>
    <t>Schwoerer Tobias and Spellman Katie V and Davis Tammy J and Lee Olivia and Martin Aaron and Mulder Christa P H and Swenson Nicole Y and Taylor Audrey and Winter Genelle</t>
  </si>
  <si>
    <t>http://0-search.ebscohost.com.catalogue.libraries.london.ac.uk/login.aspx?direct=true&amp;db=a9h&amp;AN=153358032&amp;site=ehost-live</t>
  </si>
  <si>
    <t>Schwoerer, Tobias 1; Email Address: tschwoerer@alaska.edu Spellman, Katie V. 1 Davis, Tammy J. 2 Lee, Olivia 1 Martin, Aaron 3 Mulder, Christa P. H. 4 Swenson, Nicole Y. 5 Taylor, Audrey 6 Winter, Genelle 7; Affiliation: 1: International Arctic Research Center, University of Alaska Fairbanks, 2160 North Koyukuk Drive, Fairbanks, Alaska 99775, USA 2: Alaska Department of Fish and Game, 1255 West 8th Street, Juneau, Alaska 99801, USA 3: U.S. Fish and Wildlife Service, 1011 East Tudor Road, Anchorage, Alaska 99503, USA 4: Institute of Arctic Biology and Department of Biology and Wildlife, University of Alaska Fairbanks, 2140 North Koyukuk Drive, Fairbanks, Alaska 99775, USA 5: Tyonek Tribal Conservation District, 1689 C Street, Suite 219, Anchorage, Alaska 99501, USA 6: Department of Biological Sciences, University of Alaska Anchorage, 3211 Providence Drive, Anchorage, Alaska 99508, USA 7: Metlakatla Indian Community, PO Box 8, Metlakatla, Alaska 99926, USA; Source Info: 2021 Supplement, Vol. 74, p1; Subject Term: INTRODUCED organisms; Subject Term: DATA science; Subject Term: COMMUNITY-based programs; Subject Term: CITIZEN science; Subject Term: BIOLOGICAL invasions; Subject Term: FOOD security; Subject Term: ECOSYSTEMS; Subject Term: ARCTIC regions; Subject Term: ALASKA; Author-Supplied Keyword: alien species; Author-Supplied Keyword: Arctic observing; Author-Supplied Keyword: citizen science; Author-Supplied Keyword: community science; Author-Supplied Keyword: early detection; Author-Supplied Keyword: evidence-based policy; Author-Supplied Keyword: monitoring; Author-Supplied Keyword: dÃ©tection prÃ©coce; Author-Supplied Keyword: espÃ¨ces Ã©trangÃ¨res; Author-Supplied Keyword: observation de l'Arctique; Author-Supplied Keyword: politique fondÃ©e sur des donnÃ©es probantes; Author-Supplied Keyword: science citoyenne; Author-Supplied Keyword: science communautaire; Author-Supplied Keyword: surveillance; Language of Keywords: English; Language of Keywords: French; Number of Pages: 14p; Document Type: Article | RAYYAN-INCLUSION: {"Philip"=&gt;"Excluded", "fereshteh"=&gt;"Included", "Aidan"=&gt;"Excluded", "Alec"=&gt;"Excluded"}</t>
  </si>
  <si>
    <t>10.14430/arctic73773</t>
  </si>
  <si>
    <t>eppi-reviewer;INTRODUCED organi;m;DATA;cience COMMUNITY-ba;ed program;CITIZEN;cience BIOLOGICAL inva;ion;FOOD;ecurity ECOSYSTEMS ARCTIC region;ALASKA alien;pecie;Arctic ob;erving community;cience early detection evidence-ba;ed policy monitoring dÃ©tection prÃ©coce e;pÃ¨ce;Ã©trangÃ¨re;ob;ervation de l'Arctique politique fondÃ©e;ur de;donnÃ©e;probante;cience citoyenne;cience communautaire;urveillance</t>
  </si>
  <si>
    <t>rayyan-83177427</t>
  </si>
  <si>
    <t>Adopting Citizen Science as a Tool to Enhance Monitoring for an Environment Agency</t>
  </si>
  <si>
    <t>Citizen Science: Theory &amp; Practice</t>
  </si>
  <si>
    <t>Roger Erin and Turak Eren and Tegart Patrick</t>
  </si>
  <si>
    <t>http://0-search.ebscohost.com.catalogue.libraries.london.ac.uk/login.aspx?direct=true&amp;db=a9h&amp;AN=140757826&amp;site=ehost-live</t>
  </si>
  <si>
    <t>Roger, Erin 1; Email Address: erin.roger@csiro.au Turak, Eren 1 Tegart, Patrick 1; Affiliation: 1: NSW Office of Environment and Heritage, AU; Source Info: 2019, Vol. 6 Issue 1, p1; Subject Term: CITIZEN science; Subject Term: ACQUISITION of data; Subject Term: DECISION making; Subject Term: PILOT projects; Subject Term: COMMUNITY involvement; Author-Supplied Keyword: barriers; Author-Supplied Keyword: citizen science; Author-Supplied Keyword: decision-making; Author-Supplied Keyword: government; Author-Supplied Keyword: strategy; Number of Pages: 9p; Document Type: Article | RAYYAN-INCLUSION: {"Philip"=&gt;"Excluded", "Elina"=&gt;"Excluded", "fereshteh"=&gt;"Included", "Alec"=&gt;"Excluded"}</t>
  </si>
  <si>
    <t>10.5334/cstp.231</t>
  </si>
  <si>
    <t>eppi-reviewer;CITIZEN;cience ACQUISITION of data DECISION making PILOT project;COMMUNITY involvement barrier;deci;ion-making government;trategy</t>
  </si>
  <si>
    <t>rayyan-83177428</t>
  </si>
  <si>
    <t>Boundary Work: Engaging Knowledge Systems in Co-management of Feral Animals on Indigenous Lands</t>
  </si>
  <si>
    <t>Ecology &amp; Society</t>
  </si>
  <si>
    <t>387-399</t>
  </si>
  <si>
    <t>Robinson Catherine J and Wallington Tabatha J</t>
  </si>
  <si>
    <t>http://0-search.ebscohost.com.catalogue.libraries.london.ac.uk/login.aspx?direct=true&amp;db=a9h&amp;AN=77928781&amp;site=ehost-live</t>
  </si>
  <si>
    <t>Robinson, Catherine J. 1 Wallington, Tabatha J. 1; Affiliation: 1: CSIRO Ecosystem Sciences; Source Info: 2012, Vol. 17 Issue 2, p387; Subject Term: FERAL animals; Subject Term: WILDLIFE conservation; Subject Term: TRADITIONAL ecological knowledge; Subject Term: ENVIRONMENTAL management; Subject Term: ENVIRONMENTAL protection; Subject Term: AUSTRALIA; Author-Supplied Keyword: co-benefits; Author-Supplied Keyword: co-managed boundary work; Author-Supplied Keyword: collaboration; Author-Supplied Keyword: environmental governance; Author-Supplied Keyword: feral animal management; Author-Supplied Keyword: Indigenous knowledge; Author-Supplied Keyword: knowledge-action systems; Number of Pages: 12p; Document Type: Article | RAYYAN-INCLUSION: {"Philip"=&gt;"Excluded", "fereshteh"=&gt;"Excluded", "Iris"=&gt;"Included", "Alec"=&gt;"Included"}</t>
  </si>
  <si>
    <t>10.5751/ES-04836-170216</t>
  </si>
  <si>
    <t>eppi-reviewer;FERAL animal;WILDLIFE con;ervation TRADITIONAL ecological knowledge ENVIRONMENTAL management ENVIRONMENTAL protection AUSTR...;co-managed boundary work collaboration environmental governance feral animal management Indigenou;knowledge knowledge-action;y;tem</t>
  </si>
  <si>
    <t>rayyan-83177429</t>
  </si>
  <si>
    <t>Social process in grizzly bear management: lessons for collaborative governance and natural resource policy</t>
  </si>
  <si>
    <t>Policy Sciences</t>
  </si>
  <si>
    <t>265-291</t>
  </si>
  <si>
    <t>Richie Lauren and Oppenheimer J Daniel and Clark Susan G</t>
  </si>
  <si>
    <t>https://www.proquest.com/scholarly-journals/social-process-grizzly-bear-management-lessons/docview/1030728772/se-2?accountid=14511 https://ucl-new-primo.hosted.exlibrisgroup.com/openurl/UCL/UCL_VU2?url_ver=Z39.88-2004&amp;rft_val_fmt=info:ofi/fmt:kev:mtx:journal&amp;genre=article&amp;sid=ProQ:ProQ%3Aibss&amp;atitle=Social+process+in+grizzly+bear+management%3A+lessons+for+collaborative+governance+and+natural+resource+policy&amp;title=Policy+Sciences&amp;issn=00322687&amp;date=2012-09-01&amp;volume=45&amp;issue=3&amp;spage=265&amp;au=Richi</t>
  </si>
  <si>
    <t>Copyright - Springer Science+Business Media, LLC. 2012 CODEN - PLSCBZ SubjectsTermNotLitGenreText - Canada | RAYYAN-INCLUSION: {"Philip"=&gt;"Excluded", "fereshteh"=&gt;"Excluded", "Sarah"=&gt;"Included", "Alec"=&gt;"Included"}</t>
  </si>
  <si>
    <t>https://doi.org/10.1007/s11077-012-9160-z</t>
  </si>
  <si>
    <t>eppi-reviewer;Political Science;Natural resource management;Bears;Public policy;Analysis;Studies;Collaboration;National parks;Decision making;Canada;71219:Nature Parks and Other Similar Institutions;2600:Management science/operations research;9130:Experimental/theoretical;9172:Canada;1200:Social policy;1530:Natural resources</t>
  </si>
  <si>
    <t>rayyan-83177433</t>
  </si>
  <si>
    <t>Evidence-informed policy and practice: The role and potential of civil society</t>
  </si>
  <si>
    <t>African Evaluation Journal</t>
  </si>
  <si>
    <t>Pabari Mine and Amisi Matodzi M and David-Gnahoui Emmanuel and Bedu-Addo Dede and Goldman Ian</t>
  </si>
  <si>
    <t>http://0-search.ebscohost.com.catalogue.libraries.london.ac.uk/login.aspx?direct=true&amp;db=a9h&amp;AN=148228034&amp;site=ehost-live</t>
  </si>
  <si>
    <t>Pabari, Mine 1; Email Address: mine.pabari@athariadvisory.co.ke Amisi, Matodzi M. 1 David-Gnahoui, Emmanuel 2 Bedu-Addo, Dede 3 Goldman, Ian 1; Affiliation: 1: CLEAR Anglophone Africa (CLEAR AA), Faculty of Commerce, Law and Management, University of the Witwatersrand, Johannesburg, South Africa 2: Faculty of Human and Social Sciences, University of Abomey-Calavi, Cotonou, Benin 3: Ghana Monitoring and Evaluation Forum (GMEF), Accra, Ghana; Source Info: 2020, Vol. 8 Issue 1, p1; Subject Term: CIVIL society; Subject Term: VIOLENCE against women; Subject Term: BEHAVIOR; Subject Term: CASE studies; Subject Term: BENIN; Subject Term: GHANA; Subject Term: KENYA; Author-Supplied Keyword: Citizen engagement; Author-Supplied Keyword: Civil society; Author-Supplied Keyword: Evidence use; Author-Supplied Keyword: Evidence-informed policymaking; Author-Supplied Keyword: Sustainable development; Number of Pages: 11p; Document Type: Article | RAYYAN-INCLUSION: {"Philip"=&gt;"Excluded", "fereshteh"=&gt;"Excluded", "Aidan"=&gt;"Excluded", "Alec"=&gt;"Included"}</t>
  </si>
  <si>
    <t>10.4102/aej.v8i1.470</t>
  </si>
  <si>
    <t>eppi-reviewer;CIVIL;ociety VIOLENCE again;t women BEHAVIOR CASE;tudie;BENIN GHANA KENYA Citizen engagement Evidence u;e Evidence-informed policymaking Su;tainable development</t>
  </si>
  <si>
    <t>rayyan-83177435</t>
  </si>
  <si>
    <t>Pathways to impact for aquatic conservation science via multi-modal communication and stakeholder engagement</t>
  </si>
  <si>
    <t>Aquatic Conservation-Marine and Freshwater Ecosystems</t>
  </si>
  <si>
    <t>1052-7613</t>
  </si>
  <si>
    <t>1791-1797</t>
  </si>
  <si>
    <t>Noble M M and Fulton C J</t>
  </si>
  <si>
    <t>&lt;Go to ISI&gt;://WOS:000570237100014</t>
  </si>
  <si>
    <t>Noble, Mae M. Fulton, Christopher J. Fulton, Christopher J/A-5971-2008 Fulton, Christopher J/0000-0002-1140-1999 1099-0755 Si | RAYYAN-INCLUSION: {"Matthew"=&gt;"Included", "Philip"=&gt;"Included", "Alice"=&gt;"Included", "Carlos"=&gt;"Maybe", "Tabitha"=&gt;"Included", "Prishnee"=&gt;"Excluded", "Valentin"=&gt;"Excluded", "Elina"=&gt;"Included", "fereshteh"=&gt;"Excluded", "Aidan"=&gt;"Included", "Tiff"=&gt;"Included", "Iris"=&gt;"Included", "Sarah"=&gt;"Included", "Nibedita"=&gt;"Included", "Alec"=&gt;"Included", "Isobel"=&gt;"Included"}</t>
  </si>
  <si>
    <t>10.1002/aqc.3380</t>
  </si>
  <si>
    <t>rayyan-83177440</t>
  </si>
  <si>
    <t>Use of web-based species occurrence information systems by academics and government professionals</t>
  </si>
  <si>
    <t>PLoS ONE [Electronic Resource]</t>
  </si>
  <si>
    <t>e0236556-e0236556</t>
  </si>
  <si>
    <t>Martin-Mora E and Ellis S and Page L M</t>
  </si>
  <si>
    <t>https://ovidsp.ovid.com/ovidweb.cgi?T=JS&amp;CSC=Y&amp;NEWS=N&amp;PAGE=fulltext&amp;D=med18&amp;AN=32735594 https://discover.lshtm.ac.uk/openurl/44HYG/44HYG_services_page?sid=OVID:medline&amp;id=doi:10.1371%2Fjournal.pone.0236556&amp;id=pmid32735594&amp;issn=1932-6203&amp;isbn=&amp;volume=15&amp;issue=7&amp;spage=e0236556&amp;pages=e0236556&amp;date=2020&amp;title=PLoS+ONE+%5BElectronic+Resource%5D&amp;atitle=Use+of+web-based+species+occurrence+information+systems+by+academics+and+government+professionals.&amp;aulast=Martin-Mora&amp;pid=%3Cauthor%3EMartin-Mora+E%3BE</t>
  </si>
  <si>
    <t>Martin-Mora, Elizabeth. School of Natural Resources and Environment, University of Florida, Gainesvi</t>
  </si>
  <si>
    <t>Martin-Mora, Elizabeth Ellis, Shari Page, Lawrence M | RAYYAN-INCLUSION: {"Matthew"=&gt;"Included", "Philip"=&gt;"Included", "Alice"=&gt;"Included", "Carlos"=&gt;"Excluded", "Tabitha"=&gt;"Excluded", "Prishnee"=&gt;"Excluded", "Valentin"=&gt;"Included", "Elina"=&gt;"Excluded", "fereshteh"=&gt;"Excluded", "Aidan"=&gt;"Included", "Tiff"=&gt;"Excluded", "Iris"=&gt;"Included", "Sarah"=&gt;"Excluded", "Nibedita"=&gt;"Excluded", "Alec"=&gt;"Included", "Isobel"=&gt;"Included"}</t>
  </si>
  <si>
    <t>rayyan-83177445</t>
  </si>
  <si>
    <t>Stakeholder participation in IPBES: connecting local environmental work with global decision making</t>
  </si>
  <si>
    <t>Ecosystems and People</t>
  </si>
  <si>
    <t>197-211</t>
  </si>
  <si>
    <t>Krug Cornelia B and Sterling Eleanor and Cadman Timothy and Geschke Jonas and Drummond de Castro, Paula F and Schliep Rainer and Osemwegie Isimemen and Muller-Karger Frank E and Maraseni Tek</t>
  </si>
  <si>
    <t>https://ovidsp.ovid.com/ovidweb.cgi?T=JS&amp;CSC=Y&amp;NEWS=N&amp;PAGE=fulltext&amp;D=pmnm5&amp;AN=32984823 https://discover.lshtm.ac.uk/openurl/44HYG/44HYG_services_page?sid=OVID:medline&amp;id=doi:10.1080%2F26395916.2020.1788643&amp;id=pmid32984823&amp;issn=2639-5908&amp;isbn=&amp;volume=16&amp;issue=1&amp;spage=197&amp;pages=197-211&amp;date=2020&amp;title=Ecosystems+and+People&amp;atitle=Stakeholder+participation+in+IPBES%3A+connecting+local+environmental+work+with+global+decision+making.&amp;aulast=Krug&amp;pid=%3Cauthor%3EKrug+CB%3BSterling+E%3BCadman+T%3BGesc</t>
  </si>
  <si>
    <t>Krug, Cornelia B. bioDISCOVERY, Department of Geography, University of Zurich, Zurich, Switzerland.</t>
  </si>
  <si>
    <t>Krug CB Sterling E Cadman T Geschke J Drummond de Castro PF Schliep R Osemwegie I Muller-Karger FE Maraseni T | RAYYAN-INCLUSION: {"Philip"=&gt;"Excluded", "Carlos"=&gt;"Included", "Elina"=&gt;"Excluded", "fereshteh"=&gt;"Included"}</t>
  </si>
  <si>
    <t>rayyan-83177449</t>
  </si>
  <si>
    <t>Improving technical information use: what can be learnt from a manager's perspective?</t>
  </si>
  <si>
    <t>Environmental Management</t>
  </si>
  <si>
    <t>221-233</t>
  </si>
  <si>
    <t>Jacobson C and Lisle A and Carter R W and Hockings M T</t>
  </si>
  <si>
    <t>https://ovidsp.ovid.com/ovidweb.cgi?T=JS&amp;CSC=Y&amp;NEWS=N&amp;PAGE=fulltext&amp;D=med10&amp;AN=23728487 https://discover.lshtm.ac.uk/openurl/44HYG/44HYG_services_page?sid=OVID:medline&amp;id=doi:10.1007%2Fs00267-013-0084-y&amp;id=pmid23728487&amp;issn=0364-152X&amp;isbn=&amp;volume=52&amp;issue=1&amp;spage=221&amp;pages=221-33&amp;date=2013&amp;title=Environmental+Management&amp;atitle=Improving+technical+information+use%3A+what+can+be+learnt+from+a+manager%27s+perspective%3F.&amp;aulast=Jacobson&amp;pid=%3Cauthor%3EJacobson+C%3BLisle+A%3BCarter+RW%3BHockings+MT</t>
  </si>
  <si>
    <t>Jacobson, C. Sustainability Research Centre, University of the Sunshine Coast, Maroochydore DC, Lock</t>
  </si>
  <si>
    <t>Jacobson, C Lisle, A Carter, R W Hockings, M T | RAYYAN-INCLUSION: {"Matthew"=&gt;"Included", "Philip"=&gt;"Included", "Alice"=&gt;"Included", "Carlos"=&gt;"Included", "Tabitha"=&gt;"Included", "Prishnee"=&gt;"Included", "Valentin"=&gt;"Excluded", "Elina"=&gt;"Included", "fereshteh"=&gt;"Excluded", "Aidan"=&gt;"Included", "Tiff"=&gt;"Included", "Iris"=&gt;"Included", "Sarah"=&gt;"Included", "Nibedita"=&gt;"Excluded", "Alec"=&gt;"Included", "Isobel"=&gt;"Included"}</t>
  </si>
  <si>
    <t>rayyan-83177453</t>
  </si>
  <si>
    <t>Science Collaboration for Capacity Building: Advancing Technology Transfer Through a Treaty for Biodiversity Beyond National Jurisdiction</t>
  </si>
  <si>
    <t>Harden-Davies H and Snelgrove P</t>
  </si>
  <si>
    <t>&lt;Go to ISI&gt;://WOS:000517576400001</t>
  </si>
  <si>
    <t>Harden-Davies, Harriet Snelgrove, Paul Harden-Davies, Harriet/0000-0002-8214-5187 2296-7745 | RAYYAN-INCLUSION: {"Philip"=&gt;"Excluded", "Carlos"=&gt;"Excluded", "Elina"=&gt;"Excluded", "fereshteh"=&gt;"Included"}</t>
  </si>
  <si>
    <t>10.3389/fmars.2020.00040</t>
  </si>
  <si>
    <t>rayyan-83177455</t>
  </si>
  <si>
    <t>The ecosystem approach as a framework for understanding knowledge utilisation</t>
  </si>
  <si>
    <t>ENVIRONMENT AND PLANNING C-GOVERNMENT AND POLICY</t>
  </si>
  <si>
    <t>301-319</t>
  </si>
  <si>
    <t>Haines-Young Roy and Potschin Marion</t>
  </si>
  <si>
    <t>SAGE PUBLICATIONS LTD</t>
  </si>
  <si>
    <t>1 OLIVERS YARD, 55 CITY ROAD, LONDON EC1Y 1SP, ENGLAND</t>
  </si>
  <si>
    <t>RAYYAN-INCLUSION: {"Philip"=&gt;"Excluded", "Carlos"=&gt;"Excluded", "fereshteh"=&gt;"Excluded"}</t>
  </si>
  <si>
    <t>10.1068/c1329j</t>
  </si>
  <si>
    <t>eppi-reviewer;eco;y;tem approach;knowledge utili;ation and inno</t>
  </si>
  <si>
    <t>rayyan-83177457</t>
  </si>
  <si>
    <t>The role of boundary organizations in co-management: examining the politics of knowledge integration in a marine protected area in Belize</t>
  </si>
  <si>
    <t>International Journal of the Commons</t>
  </si>
  <si>
    <t>1875-0281</t>
  </si>
  <si>
    <t>1013-1034</t>
  </si>
  <si>
    <t>Gray N J</t>
  </si>
  <si>
    <t>&lt;Go to ISI&gt;://WOS:000388648200025</t>
  </si>
  <si>
    <t>Gray, Noella J. Annual Conference of the American-Anthropological-Association 2013 Chicago, IL Amer Anthropol Assoc | RAYYAN-INCLUSION: {"Matthew"=&gt;"Included", "Philip"=&gt;"Included", "fereshteh"=&gt;"Included"}</t>
  </si>
  <si>
    <t>10.18352/ijc.643</t>
  </si>
  <si>
    <t>rayyan-83177458</t>
  </si>
  <si>
    <t>Data selection for making biodiversity management decisions: Best available science and institutionalized agency norms</t>
  </si>
  <si>
    <t>Administration &amp; Society</t>
  </si>
  <si>
    <t>213-241</t>
  </si>
  <si>
    <t>Gerlach John David and Williams Laron K and Forcina Colleen E</t>
  </si>
  <si>
    <t>https://ovidsp.ovid.com/ovidweb.cgi?T=JS&amp;CSC=Y&amp;NEWS=N&amp;PAGE=fulltext&amp;D=psyc10&amp;AN=2013-15898-005 https://discover.lshtm.ac.uk/openurl/44HYG/44HYG_services_page?sid=OVID:psycdb&amp;id=doi:10.1177%2F0095399712451886&amp;id=pmid&amp;issn=0095-3997&amp;isbn=&amp;volume=45&amp;issue=2&amp;spage=213&amp;pages=213-241&amp;date=2013&amp;title=Administration+%26+Society&amp;atitle=Data+selection+for+making+biodiversity+management+decisions%3A+Best+available+science+and+institutionalized+agency+norms.&amp;aulast=Gerlach&amp;pid=%3Cauthor%3EGerlach%2C+John+D</t>
  </si>
  <si>
    <t>RAYYAN-INCLUSION: {"Philip"=&gt;"Included", "Alice"=&gt;"Included", "fereshteh"=&gt;"Included"}</t>
  </si>
  <si>
    <t>rayyan-83177461</t>
  </si>
  <si>
    <t>Exploring connections among the multiple outputs and outcomes emerging from 25 years of sea turtle conservation in Northern Cyprus</t>
  </si>
  <si>
    <t>Edwards R C and Godley B J and Nuno A</t>
  </si>
  <si>
    <t>&lt;Go to ISI&gt;://WOS:000536928400016</t>
  </si>
  <si>
    <t>Edwards, Rachael C. Godley, Brendan J. Nuno, Ana Nuno, Ana/H-9497-2019 Nuno, Ana/0000-0003-4680-2378; Edwards, Rachael Catherine/0000-0003-4717-7615 1618-1093 | RAYYAN-INCLUSION: {"Matthew"=&gt;"Included", "Philip"=&gt;"Excluded", "fereshteh"=&gt;"Included"}</t>
  </si>
  <si>
    <t>10.1016/j.jnc.2020.125816</t>
  </si>
  <si>
    <t>rayyan-83177462</t>
  </si>
  <si>
    <t>Red lists in conservation science-policy interfaces: A case study from Vietnam</t>
  </si>
  <si>
    <t>101-110</t>
  </si>
  <si>
    <t>Do Thi Huong and Krott Max and Juerges Nataly and BÃ¶cher Michael</t>
  </si>
  <si>
    <t>http://0-search.ebscohost.com.catalogue.libraries.london.ac.uk/login.aspx?direct=true&amp;db=a9h&amp;AN=131628516&amp;site=ehost-live</t>
  </si>
  <si>
    <t>Do, Thi Huong 1; Email Address: dohuongnlkh@gmail.com Krott, Max 1 Juerges, Nataly 1 BÃ¶cher, Michael 1; Affiliation: 1: Chair Group of Forest and Nature Conservation Policy, George-August University of GÃ¶ttingen, BÃ¼sgenweg 3, 37077 GÃ¶ttingen, Germany; Source Info: Oct2018, Vol. 226, p101; Subject Term: ENDANGERED species; Subject Term: BIODIVERSITY conservation; Subject Term: KNOWLEDGE transfer; Subject Term: CONSERVATION biology; Author-Supplied Keyword: Biodiversity conservation; Author-Supplied Keyword: Red lists; Author-Supplied Keyword: RIU model; Author-Supplied Keyword: Scienceâ€“policy interface; Author-Supplied Keyword: Science-based policy advice; Author-Supplied Keyword: Vietnamese Red Data Book; Reviews &amp;amp; Products: RED data book; Number of Pages: 10p; Document Type: Article | RAYYAN-INCLUSION: {"Philip"=&gt;"Included", "fereshteh"=&gt;"Included", "Nibedita"=&gt;"Included"}</t>
  </si>
  <si>
    <t>10.1016/j.biocon.2018.07.016</t>
  </si>
  <si>
    <t>eppi-reviewer;ENDANGERED;pecie;BIODIVERSITY con;ervation KNOWLEDGE tran;fer CONSERVATION biology Red li;t;RIU model Scienceâ€“policy interface Science-ba;ed policy advice Vietname;e Red Data Book RED data book</t>
  </si>
  <si>
    <t>rayyan-83177463</t>
  </si>
  <si>
    <t>Toward successful implementation of conservation research: A case study from Vietnam</t>
  </si>
  <si>
    <t>Ambio</t>
  </si>
  <si>
    <t>608-621</t>
  </si>
  <si>
    <t>Do Thi and H and Krott M and Bocher M and Juerges N</t>
  </si>
  <si>
    <t>https://ovidsp.ovid.com/ovidweb.cgi?T=JS&amp;CSC=Y&amp;NEWS=N&amp;PAGE=fulltext&amp;D=med15&amp;AN=29264868 https://discover.lshtm.ac.uk/openurl/44HYG/44HYG_services_page?sid=OVID:medline&amp;id=doi:10.1007%2Fs13280-017-0999-2&amp;id=pmid29264868&amp;issn=0044-7447&amp;isbn=&amp;volume=47&amp;issue=5&amp;spage=608&amp;pages=608-621&amp;date=2018&amp;title=Ambio&amp;atitle=Toward+successful+implementation+of+conservation+research%3A+A+case+study+from+Vietnam.&amp;aulast=Do+Thi&amp;pid=%3Cauthor%3EDo+Thi+H%3BKrott+M%3BBocher+M%3BJuerges+N%3C%2Fauthor%3E%3CAN%3E2926486</t>
  </si>
  <si>
    <t>Do Thi, Huong. Chair Group of Forest and Nature Conservation Policy, George-August University of Got</t>
  </si>
  <si>
    <t>Do Thi, Huong Krott, Max Bocher, Michael Juerges, Nataly | RAYYAN-INCLUSION: {"Philip"=&gt;"Excluded", "Carlos"=&gt;"Included", "Elina"=&gt;"Included", "fereshteh"=&gt;"Included"}</t>
  </si>
  <si>
    <t>rayyan-83177464</t>
  </si>
  <si>
    <t>What works in conservation? Using expert assessment of summarised evidence to identify practices that enhance natural pest control in agriculture</t>
  </si>
  <si>
    <t>Biodiversity &amp; Conservation</t>
  </si>
  <si>
    <t>1383-1399</t>
  </si>
  <si>
    <t>Dicks Lynn V and Wright Hugh L and Ashpole Joscelyne E and Hutchison James and McCormack Caitlin G and Livoreil Barbara and Zulka Klaus Peter and Sutherland William J</t>
  </si>
  <si>
    <t>https://ovidsp.ovid.com/ovidweb.cgi?T=JS&amp;CSC=Y&amp;NEWS=N&amp;PAGE=fulltext&amp;D=pmnm3&amp;AN=32355426 https://discover.lshtm.ac.uk/openurl/44HYG/44HYG_services_page?sid=OVID:medline&amp;id=doi:10.1007%2Fs10531-016-1133-7&amp;id=pmid32355426&amp;issn=0960-3115&amp;isbn=&amp;volume=25&amp;issue=7&amp;spage=1383&amp;pages=1383-1399&amp;date=2016&amp;title=Biodiversity+%26+Conservation&amp;atitle=What+works+in+conservation%3F+Using+expert+assessment+of+summarised+evidence+to+identify+practices+that+enhance+natural+pest+control+in+agriculture.&amp;aulast=Dicks&amp;</t>
  </si>
  <si>
    <t>Dicks, Lynn V. 1Department of Zoology, University of Cambridge, Cambridge, CB2 3QZ UK. Wright, Hugh</t>
  </si>
  <si>
    <t>Dicks LV Wright HL Ashpole JE Hutchison J McCormack CG Livoreil B Zulka KP Sutherland WJ | RAYYAN-INCLUSION: {"Matthew"=&gt;"Included", "Philip"=&gt;"Excluded", "fereshteh"=&gt;"Included"}</t>
  </si>
  <si>
    <t>rayyan-83177466</t>
  </si>
  <si>
    <t>Comparing student and professional responses toward advocacy in science</t>
  </si>
  <si>
    <t>Human Dimensions of Wildlife</t>
  </si>
  <si>
    <t>361-370</t>
  </si>
  <si>
    <t>Crawford Brian A and Kramer David W and Hinton Joseph W</t>
  </si>
  <si>
    <t>https://ovidsp.ovid.com/ovidweb.cgi?T=JS&amp;CSC=Y&amp;NEWS=N&amp;PAGE=fulltext&amp;D=psyc13&amp;AN=2016-26995-007 https://discover.lshtm.ac.uk/openurl/44HYG/44HYG_services_page?sid=OVID:psycdb&amp;id=doi:10.1080%2F10871209.2016.1149747&amp;id=pmid&amp;issn=1087-1209&amp;isbn=&amp;volume=21&amp;issue=4&amp;spage=361&amp;pages=361-370&amp;date=2016&amp;title=Human+Dimensions+of+Wildlife&amp;atitle=Comparing+student+and+professional+responses+toward+advocacy+in+science.&amp;aulast=Crawford&amp;pid=%3Cauthor%3ECrawford%2C+Brian+A%3BKramer%2C+David+W%3BHinton%2C+Joseph</t>
  </si>
  <si>
    <t>RAYYAN-INCLUSION: {"Philip"=&gt;"Excluded", "fereshteh"=&gt;"Excluded"}</t>
  </si>
  <si>
    <t>rayyan-83177468</t>
  </si>
  <si>
    <t>Governance Challenges in Joint Inter-Jurisdictional Management: The Grand Teton National Park, Wyoming, Elk Case</t>
  </si>
  <si>
    <t>286-299</t>
  </si>
  <si>
    <t>Clark S G and Vernon M E</t>
  </si>
  <si>
    <t>https://ovidsp.ovid.com/ovidweb.cgi?T=JS&amp;CSC=Y&amp;NEWS=N&amp;PAGE=fulltext&amp;D=med12&amp;AN=25904468 https://discover.lshtm.ac.uk/openurl/44HYG/44HYG_services_page?sid=OVID:medline&amp;id=doi:10.1007%2Fs00267-015-0515-z&amp;id=pmid25904468&amp;issn=0364-152X&amp;isbn=&amp;volume=56&amp;issue=2&amp;spage=286&amp;pages=286-99&amp;date=2015&amp;title=Environmental+Management&amp;atitle=Governance+Challenges+in+Joint+Inter-Jurisdictional+Management%3A+The+Grand+Teton+National+Park%2C+Wyoming%2C+Elk+Case.&amp;aulast=Clark&amp;pid=%3Cauthor%3EClark+SG%3BVernon+ME%3</t>
  </si>
  <si>
    <t>Clark, Susan G. School of Forestry and Environmental Studies, Yale University, 195 Prospect, New Hav</t>
  </si>
  <si>
    <t>Clark, Susan G Vernon, Marian E | RAYYAN-INCLUSION: {"Philip"=&gt;"Excluded", "fereshteh"=&gt;"Included", "Sarah"=&gt;"Included"}</t>
  </si>
  <si>
    <t>rayyan-83177469</t>
  </si>
  <si>
    <t>Wyoming sage-grouse working groups: lessons learned</t>
  </si>
  <si>
    <t>Human-Wildlife Interactions</t>
  </si>
  <si>
    <t>1934-4392</t>
  </si>
  <si>
    <t>274-286</t>
  </si>
  <si>
    <t>Christiansen T J and Belton L R</t>
  </si>
  <si>
    <t>&lt;Go to ISI&gt;://WOS:000422844800012</t>
  </si>
  <si>
    <t>Christiansen, Thomas J. Belton, Lorien R. 1936-8046 | RAYYAN-INCLUSION: {"fereshteh"=&gt;"Excluded"}</t>
  </si>
  <si>
    <t>rayyan-83177470</t>
  </si>
  <si>
    <t>Creating a biodiversity science community: Experiences from a European Network of Knowledge</t>
  </si>
  <si>
    <t>Environmental Science and Policy</t>
  </si>
  <si>
    <t>497-504</t>
  </si>
  <si>
    <t>Carmen E and Nesshover C and Saarikoski H and Vandewalle M and Watt A and Wittmer H and Young J</t>
  </si>
  <si>
    <t>https://ovidsp.ovid.com/ovidweb.cgi?T=JS&amp;CSC=Y&amp;NEWS=N&amp;PAGE=fulltext&amp;D=emed16&amp;AN=603965883 https://discover.lshtm.ac.uk/openurl/44HYG/44HYG_services_page?sid=OVID:embase&amp;id=doi:10.1016%2Fj.envsci.2015.03.014&amp;id=pmid&amp;issn=1462-9011&amp;isbn=&amp;volume=54&amp;issue=&amp;spage=497&amp;pages=497-504&amp;date=2015&amp;title=Environmental+Science+and+Policy&amp;atitle=Creating+a+biodiversity+science+community%3A+Experiences+from+a+European+Network+of+Knowledge&amp;aulast=Carmen&amp;pid=%3Cauthor%3ECarmen+E.%3BNesshover+C.%3BSaarikoski+H.%3</t>
  </si>
  <si>
    <t>RAYYAN-INCLUSION: {"Philip"=&gt;"Included", "fereshteh"=&gt;"Included", "Nibedita"=&gt;"Excluded"}</t>
  </si>
  <si>
    <t>rayyan-83177471</t>
  </si>
  <si>
    <t>A tenuous link: Information transfer between urban ecological research and restoration practice</t>
  </si>
  <si>
    <t>Urban Forestry &amp; Urban Greening</t>
  </si>
  <si>
    <t>1618-8667</t>
  </si>
  <si>
    <t>Busbridge S and Clarkson B D and Wallace K J</t>
  </si>
  <si>
    <t>&lt;Go to ISI&gt;://WOS:000636302300005</t>
  </si>
  <si>
    <t>Busbridge, Sarah Clarkson, Bruce D. Wallace, K. J. 1610-8167 | RAYYAN-INCLUSION: {"Philip"=&gt;"Included", "fereshteh"=&gt;"Excluded", "Iris"=&gt;"Included"}</t>
  </si>
  <si>
    <t>10.1016/j.ufug.2021.127019</t>
  </si>
  <si>
    <t>rayyan-83177472</t>
  </si>
  <si>
    <t>Rural local institutions and climate change adaptation in forest communities in Cameroon</t>
  </si>
  <si>
    <t>Brown H C. P and Sonwa D J</t>
  </si>
  <si>
    <t>&lt;Go to ISI&gt;://WOS:000357622800007</t>
  </si>
  <si>
    <t>Brown, H. Carolyn Peach Sonwa, Denis J. | RAYYAN-INCLUSION: {"Tabitha"=&gt;"Excluded", "fereshteh"=&gt;"Excluded"}</t>
  </si>
  <si>
    <t>10.5751/es-07327-200206</t>
  </si>
  <si>
    <t>rayyan-83177473</t>
  </si>
  <si>
    <t>Science-based Stakeholder Dialogue for Environmental Policy Implementation</t>
  </si>
  <si>
    <t>Conservation &amp; Society</t>
  </si>
  <si>
    <t>0972-4923</t>
  </si>
  <si>
    <t>225-235</t>
  </si>
  <si>
    <t>Brites A D and de Mello K and Tavares P A and Metzger J P and Rodrigues R R and Molin P G and Pinto L F. G and Joly C A and Fernandes J F. A and Machado F S and Trani E and Sparovek G</t>
  </si>
  <si>
    <t>&lt;Go to ISI&gt;://WOS:000754309300003</t>
  </si>
  <si>
    <t>Brites, Alice Dantas de Mello, Kaline Tavares, Paulo Andre Metzger, Jean Paul Rodrigues, Ricardo Riberio Molin, Paulo Guilherme Guedes Pinto, Luis Fernando Joly, Carlos Alfredo Adrien Fernandes, Joao Franciso Machado, Frederico Soares Trani, Eduardo Sparovek, Gerd Rodrigues, Ricardo Ribeiro R/D-5557-2012; Molin, Paulo Guilherme/G-9094-2012; Metzger, Jean Paul/C-2514-2012 Rodrigues, Ricardo Ribeiro R/0000-0003-4818-0736; Molin, Paulo Guilherme/0000-0002-4587-935X; Metzger, Jean Paul/0000-0002-0087-5240 0975-3133 | RAYYAN-INCLUSION: {"fereshteh"=&gt;"Excluded"}</t>
  </si>
  <si>
    <t>10.4103/cs.cs_20_134</t>
  </si>
  <si>
    <t>rayyan-83177475</t>
  </si>
  <si>
    <t>Supporting evidence-based policy on biodiversity and ecosystem services: recommendations for effective policy briefs</t>
  </si>
  <si>
    <t>431-451</t>
  </si>
  <si>
    <t>Balian E V and Drius L and Eggermont H and Livoreil B and Vandewalle M and Vandewoestjine S and Wittmer H and Young J</t>
  </si>
  <si>
    <t>&lt;Go to ISI&gt;://WOS:000383935900007</t>
  </si>
  <si>
    <t>Balian, Estelle V. Drius, Liza Eggermont, Hilde Livoreil, Barbara Vandewalle, Marie Vandewoestjine, Sofie Wittmer, Heidi Young, Juliette Young, Juliette/B-4225-2012; Wittmer, Heidi/H-7264-2012 Young, Juliette/0000-0002-8522-0883; Wittmer, Heidi/0000-0001-6966-7258; Vandewalle, Marie/0000-0003-3619-9763 1744-2656 Si | RAYYAN-INCLUSION: {"Matthew"=&gt;"Excluded", "Philip"=&gt;"Excluded", "fereshteh"=&gt;"Included"}</t>
  </si>
  <si>
    <t>10.1332/174426416x14700777371551</t>
  </si>
  <si>
    <t>rayyan-83177476</t>
  </si>
  <si>
    <t>Is sharing truly caring? Environmental data value chains and policymaking in Europe and Central Asia</t>
  </si>
  <si>
    <t>152-161</t>
  </si>
  <si>
    <t>Aggestam F and Mangalagiu D</t>
  </si>
  <si>
    <t>https://ovidsp.ovid.com/ovidweb.cgi?T=JS&amp;CSC=Y&amp;NEWS=N&amp;PAGE=fulltext&amp;D=emed21&amp;AN=2007501625 https://discover.lshtm.ac.uk/openurl/44HYG/44HYG_services_page?sid=OVID:embase&amp;id=doi:10.1016%2Fj.envsci.2020.07.012&amp;id=pmid&amp;issn=1462-9011&amp;isbn=&amp;volume=114&amp;issue=&amp;spage=152&amp;pages=152-161&amp;date=2020&amp;title=Environmental+Science+and+Policy&amp;atitle=Is+sharing+truly+caring%3F+Environmental+data+value+chains+and+policymaking+in+Europe+and+Central+Asia&amp;aulast=Aggestam&amp;pid=%3Cauthor%3EAggestam+F.%3BMangalagiu+D.%3</t>
  </si>
  <si>
    <t>RAYYAN-INCLUSION: {"Philip"=&gt;"Excluded", "Tabitha"=&gt;"Included", "Prishnee"=&gt;"Included", "fereshteh"=&gt;"Excluded"}</t>
  </si>
  <si>
    <t>rayyan-83177478</t>
  </si>
  <si>
    <t>The Use of Spatial Data Infrastructure in Environmental Management:an Example from the Spatial Planning Practice in Poland</t>
  </si>
  <si>
    <t>619-635</t>
  </si>
  <si>
    <t>Zwirowicz-Rutkowska A and Michalik A</t>
  </si>
  <si>
    <t>https://ovidsp.ovid.com/ovidweb.cgi?T=JS&amp;CSC=Y&amp;NEWS=N&amp;PAGE=fulltext&amp;D=med13&amp;AN=27357806 https://discover.lshtm.ac.uk/openurl/44HYG/44HYG_services_page?sid=OVID:medline&amp;id=doi:10.1007%2Fs00267-016-0732-0&amp;id=pmid27357806&amp;issn=0364-152X&amp;isbn=&amp;volume=58&amp;issue=4&amp;spage=619&amp;pages=619-35&amp;date=2016&amp;title=Environmental+Management&amp;atitle=The+Use+of+Spatial+Data+Infrastructure+in+Environmental+Management%3Aan+Example+from+the+Spatial+Planning+Practice+in+Poland.&amp;aulast=Zwirowicz-Rutkowska&amp;pid=%3Cauthor%3EZw</t>
  </si>
  <si>
    <t>Zwirowicz-Rutkowska, Agnieszka. Faculty of Geodesy, Geospatial and Civil Engineering, University of</t>
  </si>
  <si>
    <t>Zwirowicz-Rutkowska, Agnieszka Michalik, Anna | RAYYAN-INCLUSION: {"Philip"=&gt;"Included", "Prishnee"=&gt;"Included", "Isobel"=&gt;"Included"}</t>
  </si>
  <si>
    <t>rayyan-83177480</t>
  </si>
  <si>
    <t>Knowledge management across the environment-policy interface in China: What knowledge is exchanged, why, and how is this undertaken?</t>
  </si>
  <si>
    <t>66-75</t>
  </si>
  <si>
    <t>Zheng Y and Naylor L A and Waldron S and Oliver D M</t>
  </si>
  <si>
    <t>https://ovidsp.ovid.com/ovidweb.cgi?T=JS&amp;CSC=Y&amp;NEWS=N&amp;PAGE=fulltext&amp;D=emed20&amp;AN=2001321380 https://discover.lshtm.ac.uk/openurl/44HYG/44HYG_services_page?sid=OVID:embase&amp;id=doi:10.1016%2Fj.envsci.2018.09.021&amp;id=pmid&amp;issn=1462-9011&amp;isbn=&amp;volume=92&amp;issue=&amp;spage=66&amp;pages=66-75&amp;date=2019&amp;title=Environmental+Science+and+Policy&amp;atitle=Knowledge+management+across+the+environment-policy+interface+in+China%3A+What+knowledge+is+exchanged%2C+why%2C+and+how+is+this+undertaken%3F&amp;aulast=Zheng&amp;pid=%3Cauthor%</t>
  </si>
  <si>
    <t>RAYYAN-INCLUSION: {"Matthew"=&gt;"Excluded"}</t>
  </si>
  <si>
    <t>rayyan-83177488</t>
  </si>
  <si>
    <t>Assessing the use of climate change information in State Wildlife Action Plans</t>
  </si>
  <si>
    <t>Conservation Science and Practice</t>
  </si>
  <si>
    <t>Yocum H M and Sassorossi D M and Ray A J</t>
  </si>
  <si>
    <t>&lt;Go to ISI&gt;://WOS:000746626700001</t>
  </si>
  <si>
    <t>Yocum, Heather M. Sassorossi, Deanna Metivier Ray, Andrea J. Ray, Andrea/Q-9848-2018 Ray, Andrea/0000-0001-5385-1202 2578-4854 | RAYYAN-INCLUSION: {"Philip"=&gt;"Included", "fereshteh"=&gt;"Excluded", "Nibedita"=&gt;"Included"}</t>
  </si>
  <si>
    <t>10.1111/csp2.608</t>
  </si>
  <si>
    <t>rayyan-83177493</t>
  </si>
  <si>
    <t>Adaptive governance and the administrative state: knowledge management for forest planning in the western United States</t>
  </si>
  <si>
    <t>Regional Environmental Change</t>
  </si>
  <si>
    <t>1436-3798</t>
  </si>
  <si>
    <t>2651-2666</t>
  </si>
  <si>
    <t>Wurtzebach Z and Schultz C and Waltz A E. M and Esch B E and Wasserman T N</t>
  </si>
  <si>
    <t>&lt;Go to ISI&gt;://WOS:000511753200039</t>
  </si>
  <si>
    <t>Wurtzebach, Zachary Schultz, Courtney Waltz, Amy E. M. Esch, Bryce E. Wasserman, Tzeidle N. 1436-378x | RAYYAN-INCLUSION: {"Isobel"=&gt;"Included"}</t>
  </si>
  <si>
    <t>10.1007/s10113-019-01569-6</t>
  </si>
  <si>
    <t>rayyan-83177496</t>
  </si>
  <si>
    <t>Science diplomacy in the Arctic: Contributions of the USGS to policy discourse and impact on governance</t>
  </si>
  <si>
    <t>Polar Record</t>
  </si>
  <si>
    <t>0032-2474</t>
  </si>
  <si>
    <t>Wood-Donnelly C and Bartels M P</t>
  </si>
  <si>
    <t>&lt;Go to ISI&gt;://WOS:000809723600001</t>
  </si>
  <si>
    <t>Wood-Donnelly, Corine Bartels, Marianne Pascale 1475-3057 | RAYYAN-INCLUSION: {"Philip"=&gt;"Excluded"}</t>
  </si>
  <si>
    <t>10.1017/s0032247422000134</t>
  </si>
  <si>
    <t>rayyan-83177498</t>
  </si>
  <si>
    <t>Is there enough water? How bearish and bullish outlooks are linked to decision maker perspectives on environmental flows</t>
  </si>
  <si>
    <t>Journal of Environmental Management</t>
  </si>
  <si>
    <t>N.PAG-N.PAG</t>
  </si>
  <si>
    <t>Wineland Sean M and Fovargue Rachel and York Betsey and Lynch Abigail J and Paukert Craig P and Neeson Thomas M</t>
  </si>
  <si>
    <t>http://0-search.ebscohost.com.catalogue.libraries.london.ac.uk/login.aspx?direct=true&amp;db=a9h&amp;AN=147945436&amp;site=ehost-live</t>
  </si>
  <si>
    <t>Wineland, Sean M. 1; Email Address: seanwineland@gmail.com Fovargue, Rachel 1 York, Betsey 2 Lynch, Abigail J. 3 Paukert, Craig P. 4 Neeson, Thomas M. 1; Affiliation: 1: Department of Geography and Environmental Sustainability, University of Oklahoma, Norman, OK, USA 2: Oklahoma Department of Wildlife Conservation, USA 3: U.S. Geological Survey, National Climate Adaptation Science Center, USA 4: U.S. Geological Survey, Missouri Cooperative Fish and Wildlife Research Unit, The School of Natural Resources, University of Missouri, USA; Source Info: Feb2021, Vol. 280, pN.PAG; Subject Term: NETWORK analysis (Communication); Subject Term: WATER supply; Subject Term: NATURAL resources; Subject Term: WATERSHEDS; Subject Term: SOCIAL network analysis; Subject Term: OKLAHOMA; Subject Term: TEXAS; Author-Supplied Keyword: Climate change; Author-Supplied Keyword: Decision making; Author-Supplied Keyword: Environmental flows; Author-Supplied Keyword: Freshwater biodiversity; Author-Supplied Keyword: Policy implementation; Author-Supplied Keyword: Water management; NAICS/Industry Codes: 221310 Water Supply and Irrigation Systems; Number of Pages: 1p; Document Type: Article | RAYYAN-INCLUSION: {"Philip"=&gt;"Excluded", "Tabitha"=&gt;"Included", "fereshteh"=&gt;"Excluded"}</t>
  </si>
  <si>
    <t>10.1016/j.jenvman.2020.111694</t>
  </si>
  <si>
    <t>eppi-reviewer;NETWORK analy;i;(Communication) WATER;upply NATURAL re;ource;WATERSHEDS SOCIAL network analy;OKLAHOMA TEXAS Climate change Deci;ion making Environmental flow;Fre;hwater biodiver;ity Policy implementation Water management</t>
  </si>
  <si>
    <t>rayyan-83177504</t>
  </si>
  <si>
    <t>(Not So) common places: The roles of ecologists in environmental public policy</t>
  </si>
  <si>
    <t>223-233</t>
  </si>
  <si>
    <t>Weyland F and Von Below J</t>
  </si>
  <si>
    <t>https://ovidsp.ovid.com/ovidweb.cgi?T=JS&amp;CSC=Y&amp;NEWS=N&amp;PAGE=fulltext&amp;D=emexa&amp;AN=2015183395 https://discover.lshtm.ac.uk/openurl/44HYG/44HYG_services_page?sid=OVID:embase&amp;id=doi:10.1016%2Fj.envsci.2021.10.015&amp;id=pmid&amp;issn=1462-9011&amp;isbn=&amp;volume=126&amp;issue=&amp;spage=223&amp;pages=223-233&amp;date=2021&amp;title=Environmental+Science+and+Policy&amp;atitle=%28Not+So%29+common+places%3A+The+roles+of+ecologists+in+environmental+public+policy&amp;aulast=Weyland&amp;pid=%3Cauthor%3EWeyland+F.%3BVon+Below+J.%3C%2Fauthor%3E%3CAN%3E2</t>
  </si>
  <si>
    <t>RAYYAN-INCLUSION: {"Isobel"=&gt;"Included"}</t>
  </si>
  <si>
    <t>rayyan-83177509</t>
  </si>
  <si>
    <t>Enhancing Great Lakes coastal ecosystems research by initiating engagement between scientists and decision-makers</t>
  </si>
  <si>
    <t>Journal of Great Lakes Research</t>
  </si>
  <si>
    <t>0380-1330</t>
  </si>
  <si>
    <t>1235-1240</t>
  </si>
  <si>
    <t>Weinstein C B and Bourgeau-Chavez L L and Martin S L and Currie W S and Grantham K and Hamlin Q F and Hyndman D W and Kowalski K P and Martina J P and Pearsall D</t>
  </si>
  <si>
    <t>&lt;Go to ISI&gt;://WOS:000674493000008</t>
  </si>
  <si>
    <t>Weinstein, Charlotte B. Bourgeau-Chavez, Laura L. Martin, Sherry L. Currie, William S. Grantham, Katherine Hamlin, Quercus F. Hyndman, David W. Kowalski, Kurt P. Martina, Jason P. Pearsall, Doug Weinstein, Charlotte/0000-0001-9636-2919; Martina, Jason/0000-0002-3912-4911; Kowalski, Kurt/0000-0002-8424-4701; Martin, Sherry/0000-0001-7471-0476; Hamlin, Quercus/0000-0001-7093-5010 | RAYYAN-INCLUSION: {"Philip"=&gt;"Excluded", "Alec"=&gt;"Included"}</t>
  </si>
  <si>
    <t>10.1016/j.jglr.2021.04.018</t>
  </si>
  <si>
    <t>rayyan-83177511</t>
  </si>
  <si>
    <t>Policy-driven monitoring and evaluation: Does it support adaptive management of socio-ecological systems?</t>
  </si>
  <si>
    <t>Science of the Total Environment</t>
  </si>
  <si>
    <t>373-384</t>
  </si>
  <si>
    <t>Waylen Kerry A and Blackstock Kirsty L and van Hulst Freddy J and Damian Carmen and HorvÃ¡th Ferenc and Johnson Richard K and Kanka Robert and KÃ¼lvik Mart and Macleod Christopher J A and Meissner Kristian and Oprina-Pavelescu Mihaela M and Pino Joan and Primmer Eeva and RÃ®È™noveanu Geta and Å atalovÃ¡ Barbora and Silander Jari and Å pulerovÃ¡ Jana and SuÅ¡keviÄs Monika and Van Uytvanck Jan</t>
  </si>
  <si>
    <t>http://0-search.ebscohost.com.catalogue.libraries.london.ac.uk/login.aspx?direct=true&amp;db=a9h&amp;AN=134797588&amp;site=ehost-live</t>
  </si>
  <si>
    <t>Waylen, Kerry A. 1; Email Address: Kerry.Waylen@hutton.ac.uk Blackstock, Kirsty L. 1 van Hulst, Freddy J. 1 Damian, Carmen 1 HorvÃ¡th, Ferenc 1 Johnson, Richard K. 1 Kanka, Robert 1 KÃ¼lvik, Mart 1 Macleod, Christopher J.A. 1 Meissner, Kristian 1 Oprina-Pavelescu, Mihaela M. 1 Pino, Joan 1 Primmer, Eeva 1 RÃ®È™noveanu, Geta 1 Å atalovÃ¡, Barbora 1 Silander, Jari 1 Å pulerovÃ¡, Jana 1 SuÅ¡keviÄs, Monika 1 Van Uytvanck, Jan 1; Affiliation: 1: Social, Economic &amp;amp; Geographical Sciences, The James Hutton Institute, Cragiebuckler, Scotland AB15 8QH, UK; Source Info: Apr2019, Vol. 662, p373; Author-Supplied Keyword: Adaptive management; Author-Supplied Keyword: Environmental governance; Author-Supplied Keyword: Monitoring &amp;amp; evaluation; Author-Supplied Keyword: Policy; Author-Supplied Keyword: Socio-ecological systems; Author-Supplied Keyword: Sustainability; Number of Pages: 12p; Document Type: Article; Full Text Word Count: 12690 | RAYYAN-INCLUSION: {"Philip"=&gt;"Excluded", "Aidan"=&gt;"Excluded"}</t>
  </si>
  <si>
    <t>10.1016/j.scitotenv.2018.12.462</t>
  </si>
  <si>
    <t>eppi-reviewer;Adaptive management Environmental governance Monitoring &amp; evaluation Policy Socio-ecological;y;tem;Su;tainability</t>
  </si>
  <si>
    <t>rayyan-83177526</t>
  </si>
  <si>
    <t>Not Learning from the Past: Adaptive Governance Challenges for Australian Natural Resource Management</t>
  </si>
  <si>
    <t>Geographical Research</t>
  </si>
  <si>
    <t>379-392</t>
  </si>
  <si>
    <t>Vella Karen and Sipe Neil and Dale Allan and Taylor Bruce</t>
  </si>
  <si>
    <t>http://0-search.ebscohost.com.catalogue.libraries.london.ac.uk/login.aspx?direct=true&amp;db=a9h&amp;AN=110482322&amp;site=ehost-live</t>
  </si>
  <si>
    <t>VELLA, KAREN 1 SIPE, NEIL 2 DALE, ALLAN 3 TAYLOR, BRUCE 4; Affiliation: 1: Queensland University of Technology 2: University of Queensland 3: James Cook University 4: CSIRO; Source Info: Nov2015, Vol. 53 Issue 4, p379; Subject Term: NATURAL resources management; Subject Term: GRASSROOTS movements; Subject Term: SOCIAL movements; Subject Term: COMMUNITY support; Subject Term: DECISION making; Subject Term: AUSTRALIA; Author-Supplied Keyword: adaptive governance; Author-Supplied Keyword: Australia; Author-Supplied Keyword: evaluation; Author-Supplied Keyword: natural resource management; Author-Supplied Keyword: planning; NAICS/Industry Codes: 924110 Administration of Air and Water Resource and Solid Waste Management Programs; Number of Pages: 15p; Illustrations: 5 Charts; Document Type: Article | RAYYAN-INCLUSION: {"Tabitha"=&gt;"Excluded"}</t>
  </si>
  <si>
    <t>10.1111/1745-5871.12115</t>
  </si>
  <si>
    <t>eppi-reviewer;NATURAL re;ource;management GRASSROOTS movement;SOCIAL movement;COMMUNITY;upport DECISION making AUSTRALIA adaptive governance evaluation natural re;ource management planning</t>
  </si>
  <si>
    <t>rayyan-83177529</t>
  </si>
  <si>
    <t>Enhancing interoperability to facilitate implementation of REDD+: case study of Mexico</t>
  </si>
  <si>
    <t>Carbon Management</t>
  </si>
  <si>
    <t>57-65</t>
  </si>
  <si>
    <t>Vargas Rodrigo and Alcaraz-Segura Domingo and Birdsey Richard and Brunsell Nathaniel A and Cruz-Gaistardo Carlos O and de Jong Bernardus and Etchevers Jorge and Guevara Mario and Hayes Daniel J and Johnson Kristofer and Loescher Henry W and Paz Fernando and Ryu Youngryel and Sanchez-Mejia Zulia and Toledo-Gutierrez Karla P</t>
  </si>
  <si>
    <t>http://0-search.ebscohost.com.catalogue.libraries.london.ac.uk/login.aspx?direct=true&amp;db=a9h&amp;AN=122857161&amp;site=ehost-live</t>
  </si>
  <si>
    <t>Vargas, Rodrigo 1; Email Address: rvargas@udel.edu Alcaraz-Segura, Domingo 2,3 Birdsey, Richard 4 Brunsell, Nathaniel A. 5 Cruz-Gaistardo, Carlos O. 6 de Jong, Bernardus 7 Etchevers, Jorge 8 Guevara, Mario 1 Hayes, Daniel J. 9 Johnson, Kristofer 4 Loescher, Henry W. 10 Paz, Fernando 8 Ryu, Youngryel 11 Sanchez-Mejia, Zulia 1 Toledo-Gutierrez, Karla P. 1; Affiliation: 1: Department of Plant &amp;amp; Soil Sciences, University of Delaware, Newark, DE, USA 19716 2: Departamento de BotÃ¡nica, and Instituto Interuniversitario para la InvestigaciÃ³n del Sistema Tierra en AndalucÃ­a (IISTA), Universidad de Granada, Granada, Spain, 18006 3: Andalusian Center for the Assessment and Monitoring of Global Change (CAESCG), Universidad de AlmerÃ­a, AlmerÃ­a, Spain, 04120 4: Northern Research Station, USDA Forest Service, Newtown Square, PA, USA 19073 5: Department of Geography and Atmospheric Science, University of Kansas, Lawrence, KS, USA 66044 6: Departamento de Suelos, Instituto Nacional de EstadÃ­stica y GeografÃ­a, Aguascalientes, Mexico, 20196 7: El Colegio de la Frontera Sur 8: Colegio de Postgraduados, Montecillo, Mexico, 56230 9: School of Forest Resources, University of Maine, Orono, ME, USA, 04469 10: Battelleâ€“National Ecological Observatory Network (NEON), Boulder, CO USA 80301, and the Institute of Alpine and Arctic Research (INSTAAR), University of Colorado, Boulder, CO USA 80301 11: Department of Landscape Architecture and Rural Systems Engineering, Seoul National University, Seoul, South Korea, 151-921; Source Info: Feb2017, Vol. 8 Issue 1, p57; Subject Term: DEFORESTATION; Subject Term: ENVIRONMENTAL policy; Subject Term: FOREST degradation; Author-Supplied Keyword: adaptive governance; Author-Supplied Keyword: developing countries; Author-Supplied Keyword: good practices; Author-Supplied Keyword: measurement, reporting and verification (MRV); NAICS/Industry Codes: 912910 Other provincial and territorial public administration; NAICS/Industry Codes: 924110 Administration of Air and Water Resource and Solid Waste Management Programs; Number of Pages: 9p; Document Type: Article | RAYYAN-INCLUSION: {"Alec"=&gt;"Excluded"}</t>
  </si>
  <si>
    <t>10.1080/17583004.2017.1285177</t>
  </si>
  <si>
    <t>eppi-reviewer;DEFORESTATION ENVIRONMENTAL policy FOREST degradation adaptive governance developing countrie;good practice;mea;urement;reporting and verification (MRV)</t>
  </si>
  <si>
    <t>rayyan-83177533</t>
  </si>
  <si>
    <t>Understanding socio-cultural dimensions of environmental decision-making: A knowledge governance approach</t>
  </si>
  <si>
    <t>29-37</t>
  </si>
  <si>
    <t>van Kerkhoff L and Pilbeam V</t>
  </si>
  <si>
    <t>https://ovidsp.ovid.com/ovidweb.cgi?T=JS&amp;CSC=Y&amp;NEWS=N&amp;PAGE=fulltext&amp;D=emed18&amp;AN=615225352 https://discover.lshtm.ac.uk/openurl/44HYG/44HYG_services_page?sid=OVID:embase&amp;id=doi:10.1016%2Fj.envsci.2017.03.011&amp;id=pmid&amp;issn=1462-9011&amp;isbn=&amp;volume=73&amp;issue=&amp;spage=29&amp;pages=29-37&amp;date=2017&amp;title=Environmental+Science+and+Policy&amp;atitle=Understanding+socio-cultural+dimensions+of+environmental+decision-making%3A+A+knowledge+governance+approach&amp;aulast=van+Kerkhoff&amp;pid=%3Cauthor%3Evan+Kerkhoff+L.%3BPilbeam</t>
  </si>
  <si>
    <t>rayyan-83177534</t>
  </si>
  <si>
    <t>Working at the Boundary: An Empirical Study into the Goals and Strategies of Knowledge Brokers in the Field of Environmental Governance in the Netherlands</t>
  </si>
  <si>
    <t>Sustainability</t>
  </si>
  <si>
    <t>van Enst W I and Driessen P P. J and Runhaar H A. C</t>
  </si>
  <si>
    <t>&lt;Go to ISI&gt;://WOS:000416793400042</t>
  </si>
  <si>
    <t>van Enst, Wynanda I. Driessen, Peter P. J. Runhaar, Hens A. C. Runhaar, Hens A.C./L-5395-2013; Driessen, Peter/M-6751-2013 Runhaar, Hens A.C./0000-0001-7790-097X; Driessen, Peter/0000-0002-0724-6666 2071-1050 | RAYYAN-INCLUSION: {"Nibedita"=&gt;"Excluded"}</t>
  </si>
  <si>
    <t>10.3390/su9111962</t>
  </si>
  <si>
    <t>rayyan-83177537</t>
  </si>
  <si>
    <t>Benefits and Limitations of Using Decision-Analytic Tools to Assess Uncertainty and Prioritize Landscape Conservation Cooperative Information Needs</t>
  </si>
  <si>
    <t>Journal of Fish and Wildlife Management</t>
  </si>
  <si>
    <t>1944-687X</t>
  </si>
  <si>
    <t>280-290</t>
  </si>
  <si>
    <t>van der Burg M P and Thomas C C and Holcombe T and Nelson R D</t>
  </si>
  <si>
    <t>&lt;Go to ISI&gt;://WOS:000378082600027</t>
  </si>
  <si>
    <t>van der Burg, Max Post Thomas, Catherine Cullinane Holcombe, Tracy Nelson, Richard D. Post van der Burg, Max/0000-0002-3943-4194 | RAYYAN-INCLUSION: {"Isobel"=&gt;"Excluded"}</t>
  </si>
  <si>
    <t>10.3996/032015-jfwm-023</t>
  </si>
  <si>
    <t>rayyan-83177540</t>
  </si>
  <si>
    <t>Rhizomic learning: How environmental non-governmental organizations (ENGOs) acquire and assemble knowledge</t>
  </si>
  <si>
    <t>Social Studies of Science</t>
  </si>
  <si>
    <t>821-833</t>
  </si>
  <si>
    <t>Unander T E and Sorensen K H</t>
  </si>
  <si>
    <t>https://ovidsp.ovid.com/ovidweb.cgi?T=JS&amp;CSC=Y&amp;NEWS=N&amp;PAGE=fulltext&amp;D=med20&amp;AN=32077374 https://discover.lshtm.ac.uk/openurl/44HYG/44HYG_services_page?sid=OVID:medline&amp;id=doi:10.1177%2F0306312720908343&amp;id=pmid32077374&amp;issn=0306-3127&amp;isbn=&amp;volume=50&amp;issue=5&amp;spage=821&amp;pages=821-833&amp;date=2020&amp;title=Social+Studies+of+Science&amp;atitle=Rhizomic+learning%3A+How+environmental+non-governmental+organizations+%28ENGOs%29+acquire+and+assemble+knowledge.&amp;aulast=Unander&amp;pid=%3Cauthor%3EUnander+TE%3BSorensen+KH%</t>
  </si>
  <si>
    <t>Unander, Trine E. Department of Interdisciplinary Studies of Culture, Norwegian University of Scienc</t>
  </si>
  <si>
    <t>Unander, Trine E Sorensen, Knut H | RAYYAN-INCLUSION: {"Alice"=&gt;"Excluded", "fereshteh"=&gt;"Excluded"}</t>
  </si>
  <si>
    <t>rayyan-83177550</t>
  </si>
  <si>
    <t>From knowledge to action: Bridging the gaps toward effective incorporation of Landscape Character Assessment approach in land-use planning and management in Israel</t>
  </si>
  <si>
    <t>Land Use Policy</t>
  </si>
  <si>
    <t>0264-8377</t>
  </si>
  <si>
    <t>220-230</t>
  </si>
  <si>
    <t>Trop T</t>
  </si>
  <si>
    <t>&lt;Go to ISI&gt;://WOS:000392766800020</t>
  </si>
  <si>
    <t>Trop, Tamar Trop, Tamar/0000-0002-5865-5195 1873-5754 | RAYYAN-INCLUSION: {"Tabitha"=&gt;"Included"}</t>
  </si>
  <si>
    <t>10.1016/j.landusepol.2016.10.052</t>
  </si>
  <si>
    <t>rayyan-83177554</t>
  </si>
  <si>
    <t>An optimistic outlook on the use of evidence syntheses to inform environmental decision-making</t>
  </si>
  <si>
    <t>Thomas-Walters L and Nyboer E A and Taylor J J and Rytwinski T and Lane J F and Young N and Bennett J R and Nguyen V M and Harron N and Aitken S M and Auld G and Browne D and Jacob A L and Prior K and Smith P A and Smokorowski K E and Alexander S M and Cooke S J</t>
  </si>
  <si>
    <t>&lt;Go to ISI&gt;://WOS:000636760900001</t>
  </si>
  <si>
    <t>Thomas-Walters, Laura Nyboer, Elizabeth A. Taylor, Jessica J. Rytwinski, Trina Lane, John F. Young, Nathan Bennett, Joseph R. Nguyen, Vivian M. Harron, Nathan Aitken, Susan M. Auld, Graeme Browne, David Jacob, Aerin L. Prior, Kent Smith, Paul A. Smokorowski, Karen E. Alexander, Steven M. Cooke, Steven J. Auld, Graeme/ABD-8264-2021; Cooke, Steven J/F-4193-2010 Cooke, Steven J/0000-0002-5407-0659; Auld, Graeme/0000-0002-4054-7284; Thomas-Walters, Laura/0000-0002-3250-2799; Browne, David/0000-0002-1821-0191 2578-4854 | RAYYAN-INCLUSION: {"Tabitha"=&gt;"Included"}</t>
  </si>
  <si>
    <t>10.1111/csp2.426</t>
  </si>
  <si>
    <t>rayyan-83177562</t>
  </si>
  <si>
    <t>Building sustainability in the Eastern Himalaya: linking evidence to action</t>
  </si>
  <si>
    <t>Environment Development and Sustainability</t>
  </si>
  <si>
    <t>1387-585X</t>
  </si>
  <si>
    <t>5887-5903</t>
  </si>
  <si>
    <t>Tambe S and Rawat G S and Bhutia N T and Sherpa P N and Dhakal S and Pradhan S and Kulkarni H and Arrawatia M L</t>
  </si>
  <si>
    <t>&lt;Go to ISI&gt;://WOS:000545217400046</t>
  </si>
  <si>
    <t>Tambe, Sandeep Rawat, Gopal S. Bhutia, Nima Tashi Sherpa, Pem Norbu Dhakal, Subash Pradhan, Sarika Kulkarni, Himanshu Arrawatia, M. L. 1573-2975 | RAYYAN-INCLUSION: {"Prishnee"=&gt;"Included", "fereshteh"=&gt;"Included", "Nibedita"=&gt;"Excluded"}</t>
  </si>
  <si>
    <t>10.1007/s10668-019-00456-8</t>
  </si>
  <si>
    <t>rayyan-83177565</t>
  </si>
  <si>
    <t>Crossing Science-Policy-Societal Boundaries to Reduce Scientific and Institutional Uncertainty in Small-Scale Fisheries</t>
  </si>
  <si>
    <t>0364-152X</t>
  </si>
  <si>
    <t>565-584</t>
  </si>
  <si>
    <t>Sutton A M and Rudd M A</t>
  </si>
  <si>
    <t>&lt;Go to ISI&gt;://WOS:000384420900001</t>
  </si>
  <si>
    <t>Sutton, Abigail M. Rudd, Murray A. Rudd, Murray/C-1244-2009 Rudd, Murray/0000-0001-9533-5070 1432-1009 | RAYYAN-INCLUSION: {"Matthew"=&gt;"Included"}</t>
  </si>
  <si>
    <t>10.1007/s00267-016-0737-8</t>
  </si>
  <si>
    <t>rayyan-83177571</t>
  </si>
  <si>
    <t>Channelling science into policy: enabling best practices from research on land degradation and sustainable land management in dryland Africa</t>
  </si>
  <si>
    <t>328-335</t>
  </si>
  <si>
    <t>Stringer L C and Dougill A J</t>
  </si>
  <si>
    <t>https://ovidsp.ovid.com/ovidweb.cgi?T=JS&amp;CSC=Y&amp;NEWS=N&amp;PAGE=fulltext&amp;D=med10&amp;AN=23158525 https://discover.lshtm.ac.uk/openurl/44HYG/44HYG_services_page?sid=OVID:medline&amp;id=doi:10.1016%2Fj.jenvman.2012.10.025&amp;id=pmid23158525&amp;issn=0301-4797&amp;isbn=&amp;volume=114&amp;issue=&amp;spage=328&amp;pages=328-35&amp;date=2013&amp;title=Journal+of+Environmental+Management&amp;atitle=Channelling+science+into+policy%3A+enabling+best+practices+from+research+on+land+degradation+and+sustainable+land+management+in+dryland+Africa.&amp;aulast=Strin</t>
  </si>
  <si>
    <t>Stringer, Lindsay C. Sustainability Research Institute, School of Earth and Environment, University</t>
  </si>
  <si>
    <t>Stringer, Lindsay C Dougill, Andrew J | RAYYAN-INCLUSION: {"Iris"=&gt;"Excluded"}</t>
  </si>
  <si>
    <t>rayyan-83177575</t>
  </si>
  <si>
    <t>The systems approach framework for collaborative, science-based management of complex systems</t>
  </si>
  <si>
    <t>Journal of Coastal Conservation (Springer Science &amp; Business Media B.V.)</t>
  </si>
  <si>
    <t>881-898</t>
  </si>
  <si>
    <t>StÃ¸ttrup Josianne G and Dinesen Grete E and Schumacher Johanna and Gillgren Christina and InÃ¡cio Miguel and Schernewski Gerald</t>
  </si>
  <si>
    <t>http://0-search.ebscohost.com.catalogue.libraries.london.ac.uk/login.aspx?direct=true&amp;db=a9h&amp;AN=139438687&amp;site=ehost-live</t>
  </si>
  <si>
    <t>StÃ¸ttrup, Josianne G. 1; Email Address: jgs@aqua.dtu.dk Dinesen, Grete E. 1 Schumacher, Johanna 2 Gillgren, Christina 3 InÃ¡cio, Miguel 2,4 Schernewski, Gerald 2,4; Affiliation: 1: DTU Aqua, National Institute of Aquatic Resources, Technical University of Denmark, Kemitorvet, DK-2800, Kongens Lyngby, Denmark 2: Leibniz-Institute for Baltic Sea Research WarnemÃ¼nde, Seestrasse 15, D-18119, Rostock, Germany 3: Gillgren and Associates, 15 Kent Street, 6157, Bicton, WA, Australia 4: Marine Science Institute, Klaipeda University, Herkus Mantas str. 84, LT-92294, Klaipeda, Lithuania; Source Info: Oct2019, Vol. 23 Issue 5, p881; Subject Term: STAKEHOLDER theory; Subject Term: INTEGRATED coastal zone management; Subject Term: COASTAL zone management; Subject Term: PROGRESS; Subject Term: SUSTAINABLE development; Author-Supplied Keyword: Integrated coastal management; Author-Supplied Keyword: Science-policy; Author-Supplied Keyword: Stakeholder engagement; Author-Supplied Keyword: System analyses; NAICS/Industry Codes: 926110 Administration of General Economic Programs; Number of Pages: 18p; Document Type: Article | RAYYAN-INCLUSION: {"Iris"=&gt;"Excluded"}</t>
  </si>
  <si>
    <t>10.1007/s11852-018-00677-5</t>
  </si>
  <si>
    <t>eppi-reviewer;STAKEHOLDER theory INTEGRATED coa;tal zone management COASTAL zone management PROGRESS SUSTAINABLE development Integrated coa;tal management Science-policy Stakeholder engagement Sy;tem analy;e</t>
  </si>
  <si>
    <t>rayyan-83177576</t>
  </si>
  <si>
    <t>Roleâ€playing games in natural resource management and research: Lessons learned from theory and practice</t>
  </si>
  <si>
    <t>298-309</t>
  </si>
  <si>
    <t>Stollâ€Kleemann Susanne</t>
  </si>
  <si>
    <t>http://0-search.ebscohost.com.catalogue.libraries.london.ac.uk/login.aspx?direct=true&amp;db=a9h&amp;AN=131116107&amp;site=ehost-live</t>
  </si>
  <si>
    <t>Wiley-Blackwell</t>
  </si>
  <si>
    <t>Accession Number: 131116107; Wesselow, Maren 1; Email Address: maren.wesselow@uni-oldenburg.de Stollâ€Kleemann, Susanne 2; Affiliation: 1: Carl von Ossietzky UniversitÃ¤t Oldenburg, Oldenburg, Germany 2: Ernstâ€Moritzâ€Arndtâ€UniversitÃ¤t Greifswald, Greifswald, Germany; Source Info: Sep2018, Vol. 184 Issue 3, p298; Subject Term: ROLEPLAYING games; Subject Term: NATURAL resources management; Subject Term: RESEARCH methodology; Subject Term: ENVIRONMENTAL research; Author-Supplied Keyword: game design; Author-Supplied Keyword: Madagascar; Author-Supplied Keyword: natural resource management; Author-Supplied Keyword: participatory methods; Author-Supplied Keyword: roleâ€playing games; Author-Supplied Keyword: stakeholders; NAICS/Industry Codes: 924110 Administration of Air and Water Resource and Solid Waste Management Programs; Number of Pages: 12p; Illustrations: 1 Chart; Document Type: Case Study; Full Text Word Count: 8278 | RAYYAN-INCLUSION: {"fereshteh"=&gt;"Excluded", "Nibedita"=&gt;"Excluded"}</t>
  </si>
  <si>
    <t>10.1111/geoj.12248</t>
  </si>
  <si>
    <t>eppi-reviewer;ROLEPLAYING game;NATURAL re;ource;management RESEARCH methodology ENVIRONMENTAL re;earch game de;ign Madaga;car natural re;ource management participatory method;roleâ€playing game;takeholder</t>
  </si>
  <si>
    <t>rayyan-83177579</t>
  </si>
  <si>
    <t>Improving the scienceâ€“policyâ€“practice interface: decision support system uptake and use in the forestry sector in Great Britain</t>
  </si>
  <si>
    <t>Scandinavian Journal of Forest Research</t>
  </si>
  <si>
    <t>144-153</t>
  </si>
  <si>
    <t>Stewart Amy and Edwards David and Lawrence Anna</t>
  </si>
  <si>
    <t>http://0-search.ebscohost.com.catalogue.libraries.london.ac.uk/login.aspx?direct=true&amp;db=a9h&amp;AN=99712807&amp;site=ehost-live</t>
  </si>
  <si>
    <t>Stewart, Amy 1; Email Address: amy.stewart@forestry.gsi.gov.uk Edwards, David 1 Lawrence, Anna 1; Affiliation: 1: Forest Research, Northern Research Station, Bush Estate, RoslinEH25 9SY, Scotland; Source Info: Dec2014 Supplement, Vol. 29, p144; Subject Term: DECISION support systems; Subject Term: FORESTS &amp;amp; forestry; Subject Term: FOREST management; Subject Term: FOREST surveys; Subject Term: INFORMATION sharing; Subject Term: UNITED Kingdom; Author-Supplied Keyword: adoption; Author-Supplied Keyword: decision support systems; Author-Supplied Keyword: forestry; Author-Supplied Keyword: implementation; Author-Supplied Keyword: knowledge exchange; Author-Supplied Keyword: model; Author-Supplied Keyword: uptake; Company/Entity: INSTITUTE of Chartered Foresters (Great Britain) Company/Entity: GREAT Britain. Forestry Commission; NAICS/Industry Codes: 115310 Support Activities for Forestry; Number of Pages: 10p; Document Type: Article | RAYYAN-INCLUSION: {"Isobel"=&gt;"Included"}</t>
  </si>
  <si>
    <t>10.1080/02827581.2013.849358</t>
  </si>
  <si>
    <t>eppi-reviewer;DECISION;upport;y;tem;FORESTS &amp; fore;try FOREST management FOREST;urvey;INFORMATION;haring UNITED Kingdom adoption fore;try implementation knowledge exchange model uptake INSTITUTE of Chartered Fore;ter;(Great Britain) GREAT Britain. Fore;try Commi;ion</t>
  </si>
  <si>
    <t>rayyan-83177582</t>
  </si>
  <si>
    <t>From ecological knowledge to conservation policy: a case study on green tree retention and continuous-cover forestry in Sweden</t>
  </si>
  <si>
    <t>3547-3574</t>
  </si>
  <si>
    <t>Stens A and Roberge J M and Lofmarck E and Lindahl K B and Felton A and Widmark C and Rist L and Johansson J and Nordin A and Nilsson U and Laudon H and Ranius T</t>
  </si>
  <si>
    <t>&lt;Go to ISI&gt;://WOS:000488929900009</t>
  </si>
  <si>
    <t>Stens, Anna Roberge, Jean-Michel Lofmarck, Erik Lindahl, Karin Beland Felton, Adam Widmark, Camilla Rist, Lucy Johansson, Johanna Nordin, Annika Nilsson, Urban Laudon, Hjalmar Ranius, Thomas Stens, Anna/0000-0002-2739-0497; Widmark, Camila/0000-0002-1559-6471; Johansson, Johanna/0000-0001-6823-3503 1572-9710 | RAYYAN-INCLUSION: {"Matthew"=&gt;"Included"}</t>
  </si>
  <si>
    <t>10.1007/s10531-019-01836-2</t>
  </si>
  <si>
    <t>rayyan-83177591</t>
  </si>
  <si>
    <t>Towards better integration of environmental science in society: Lessons from BONUS, the joint Baltic Sea environmental research and development programme</t>
  </si>
  <si>
    <t>193-209</t>
  </si>
  <si>
    <t>Snoeijs-Leijonmalm P and Barnard S and Elliott M and Andrusaitis A and Kononen K and Sirola M</t>
  </si>
  <si>
    <t>https://ovidsp.ovid.com/ovidweb.cgi?T=JS&amp;CSC=Y&amp;NEWS=N&amp;PAGE=fulltext&amp;D=emed18&amp;AN=620912897 https://discover.lshtm.ac.uk/openurl/44HYG/44HYG_services_page?sid=OVID:embase&amp;id=doi:10.1016%2Fj.envsci.2017.10.004&amp;id=pmid&amp;issn=1462-9011&amp;isbn=&amp;volume=78&amp;issue=&amp;spage=193&amp;pages=193-209&amp;date=2017&amp;title=Environmental+Science+and+Policy&amp;atitle=Towards+better+integration+of+environmental+science+in+society%3A+Lessons+from+BONUS%2C+the+joint+Baltic+Sea+environmental+research+and+development+programme&amp;aulast=S</t>
  </si>
  <si>
    <t>rayyan-83177597</t>
  </si>
  <si>
    <t>Community-Based Environmental Monitoring (CBEM) for Meaningful Incorporation of Indigenous and Local Knowledge Within the Context of the Canadian Northern Corridor Program</t>
  </si>
  <si>
    <t>The School of Public Policy Publications (SPPP)</t>
  </si>
  <si>
    <t>Sidorova Jen and Virla Luis D</t>
  </si>
  <si>
    <t>https://www.proquest.com/scholarly-journals/community-based-environmental-monitoring-cbem/docview/2673033210/se-2 https://ucl-new-primo.hosted.exlibrisgroup.com/openurl/UCL/UCL_VU2?url_ver=Z39.88-2004&amp;rft_val_fmt=info:ofi/fmt:kev:mtx:journal&amp;genre=article&amp;sid=ProQ:ProQ%3Aibss&amp;atitle=Community-Based+Environmental+Monitoring+%28CBEM%29+for+Meaningful+Incorporation+of+Indigenous+and+Local+Knowledge+Within+the+Context+of+the+Canadian+Northern+Corridor+Program&amp;title=The+School+of+Public+Policy+Publi</t>
  </si>
  <si>
    <t>Copyright - Â© 2022. This work is licensed under https://creativecommons.org/licenses/by-nc/4.0/ (the â€œLicenseâ€). Notwithstanding the ProQuest Terms and Conditions, you may use this content in accordance with the terms of the License. | RAYYAN-INCLUSION: {"Alec"=&gt;"Excluded"}</t>
  </si>
  <si>
    <t>https://doi.org/10.11575/sppp.v15i1.73981</t>
  </si>
  <si>
    <t>eppi-reviewer;Social Sciences: Comprehensive Works;Environmental issues;Incorporation;Sustainable development;Emotional development;Community;Policy analysis;Development projects;Volunteers;Program implementation;Water quality;Policy making;Community based;Local knowledge;Mitigation;Leadership;Infrastructure;Conflict resolution;Pollution;Water pollution;Sustainability;Development policy;Economic development;Indigenous peoples;Case studies;Implementation;Climate change;Environmental monitoring;Technology;Caribou;Native peoples;Berries</t>
  </si>
  <si>
    <t>rayyan-83177615</t>
  </si>
  <si>
    <t>The use of knowledge in evidence-informed voluntary conservation of Finnish forests</t>
  </si>
  <si>
    <t>90-98</t>
  </si>
  <si>
    <t>Salomaa A and Paloniemi R and Hujala T and Rantala S and Arponen A and Niemela J</t>
  </si>
  <si>
    <t>&lt;Go to ISI&gt;://WOS:000388059900010</t>
  </si>
  <si>
    <t>Salomaa, Anna Paloniemi, Riikka Hujala, Teppo Rantala, Salla Arponen, Anni Niemela, Jari Arponen, Anni/AAB-8851-2022 Arponen, Anni/0000-0002-6721-7795; Salomaa, Anna/0000-0002-0509-4873; Hujala, Teppo/0000-0002-7905-7602; Paloniemi, Riikka/0000-0003-2853-535X; Rantala, Salla/0000-0002-8135-4569 1872-7050 | RAYYAN-INCLUSION: {"Alec"=&gt;"Included"}</t>
  </si>
  <si>
    <t>10.1016/j.forpol.2016.09.004</t>
  </si>
  <si>
    <t>rayyan-83177620</t>
  </si>
  <si>
    <t>Pathways to policy impact: a new approach for planning and evidencing research impact</t>
  </si>
  <si>
    <t>Evidence and Policy</t>
  </si>
  <si>
    <t>431-458</t>
  </si>
  <si>
    <t>S Reed Mark and Rosalind Bryce and Ruth Machen</t>
  </si>
  <si>
    <t>http://www.scie-socialcareonline.org.uk/pathways-to-policy-impact-a-new-approach-for-planning-and-evidencing-research-impact/r/a1C0f000006iJxaEAE https://ovidsp.ovid.com/ovidweb.cgi?T=JS&amp;CSC=Y&amp;NEWS=N&amp;PAGE=fulltext&amp;D=sopp&amp;AN=SCIEa1C0f000006iJxaEAE https://discover.lshtm.ac.uk/openurl/44HYG/44HYG_services_page?sid=OVID:soppdb&amp;id=doi:&amp;id=pmid&amp;issn=1744-2656&amp;isbn=&amp;volume=14&amp;issue=3&amp;spage=431&amp;pages=431-458&amp;date=2018&amp;title=Evidence+and+Policy&amp;atitle=Pathways+to+policy+impact%3A+a+new+approach+for+pl</t>
  </si>
  <si>
    <t>Using Smart Source Parsing pp. 2018 | RAYYAN-INCLUSION: {"Elina"=&gt;"Excluded"}</t>
  </si>
  <si>
    <t>eppi-reviewer;outcomes;research;research dissemination;research implementation;social networks;evaluation;evidence based practice;models</t>
  </si>
  <si>
    <t>rayyan-83177623</t>
  </si>
  <si>
    <t>A pathway for citizen science data to inform policy: A case study using data for defining low-risk collision areas for wind energy development</t>
  </si>
  <si>
    <t>Journal of Applied Ecology</t>
  </si>
  <si>
    <t>0021-8901</t>
  </si>
  <si>
    <t>1104-1111</t>
  </si>
  <si>
    <t>Ruiz-Gutierrez V and Bjerre E R and Otto M C and Zimmerman G S and Millsap B A and Fink D and Stuber E F and Strimas-Mackey M and Robinson O J</t>
  </si>
  <si>
    <t>&lt;Go to ISI&gt;://WOS:000639639700001</t>
  </si>
  <si>
    <t>Ruiz-Gutierrez, Viviana Bjerre, Emily R. Otto, Mark C. Zimmerman, Guthrie S. Millsap, Brian A. Fink, Daniel Stuber, Erica F. Strimas-Mackey, Matthew Robinson, Orin J. Stuber, Erica/0000-0002-2687-6874; Millsap, Brian/0000-0003-3969-249X; Strimas-Mackey, Matthew/0000-0001-8929-7776; Robinson, Orin/0000-0001-8935-1242; Ruiz-Gutierrez, Viviana/0000-0001-7116-1168; Otto, Mark/0000-0002-0552-7771 1365-2664 | RAYYAN-INCLUSION: {"Alec"=&gt;"Excluded"}</t>
  </si>
  <si>
    <t>10.1111/1365-2664.13870</t>
  </si>
  <si>
    <t>rayyan-83177627</t>
  </si>
  <si>
    <t>Process matters: a framework for conducting decision-relevant assessments of ecosystem services</t>
  </si>
  <si>
    <t>International Journal of Biodiversity Science, Ecosystem Services &amp; Management</t>
  </si>
  <si>
    <t>190-204</t>
  </si>
  <si>
    <t>Rosenthal Amy and Verutes Gregory and McKenzie Emily and Arkema Katie K and Bhagabati Nirmal and Bremer Leah L and Olwero Nasser and Vogl Adrian L</t>
  </si>
  <si>
    <t>http://0-search.ebscohost.com.catalogue.libraries.london.ac.uk/login.aspx?direct=true&amp;db=a9h&amp;AN=108866541&amp;site=ehost-live</t>
  </si>
  <si>
    <t>Rosenthal, Amy 1; Email Address: amy.rosenthal@wwfus.org Verutes, Gregory 1,2 McKenzie, Emily 1,3 Arkema, Katie K. 2 Bhagabati, Nirmal 1 Bremer, Leah L. 2 Olwero, Nasser 1 Vogl, Adrian L. 2; Affiliation: 1: The Natural Capital Project, World Wildlife Fund (WWF-US), Washington, DC, USA 2: The Natural Capital Project, Woods Institute for the Environment, Stanford University, Stanford, CA, USA 3: World Wide Fund for Nature (WWF-UK), Surrey, England; Source Info: Sep2015, Vol. 11 Issue 3, p190; Subject Term: ECOSYSTEM services; Subject Term: DECISION support systems; Subject Term: GUIDELINES; Subject Term: QUALITY of service; Subject Term: STAKEHOLDER analysis; Author-Supplied Keyword: capacity-building; Author-Supplied Keyword: decision support; Author-Supplied Keyword: ecosystem services; Author-Supplied Keyword: enabling conditions; Author-Supplied Keyword: iteration; Author-Supplied Keyword: monitoring; Author-Supplied Keyword: scenarios; Author-Supplied Keyword: science-policy; Number of Pages: 15p; Document Type: Article | RAYYAN-INCLUSION: {"Isobel"=&gt;"Excluded"}</t>
  </si>
  <si>
    <t>10.1080/21513732.2014.966149</t>
  </si>
  <si>
    <t>eppi-reviewer;ECOSYSTEM;ervice;DECISION;upport;y;tem;GUIDELINES QUALITY of;ervice STAKEHOLDER analy;i;capacity-building deci;ion;upport enabling condition;iteration monitoring;cenario;cience-policy</t>
  </si>
  <si>
    <t>rayyan-83177646</t>
  </si>
  <si>
    <t>Achieving impact from ecosystem assessment and valuation of urban greenspace: The case of i-Tree Eco in Great Britain</t>
  </si>
  <si>
    <t>Landscape and Urban Planning</t>
  </si>
  <si>
    <t>0169-2046</t>
  </si>
  <si>
    <t>Raum S and Hand K L and Hall C and Edwards D M and O'Brien L and Doick K J</t>
  </si>
  <si>
    <t>&lt;Go to ISI&gt;://WOS:000484871000011</t>
  </si>
  <si>
    <t>Raum, S. Hand, K. L. Hall, C. Edwards, D. M. O'Brien, L. Doick, K. J. Raum, Susanne/AAW-5732-2020; O'Brien, Liz/AEO-7315-2022 Raum, Susanne/0000-0003-3795-3836; O'Brien, Liz/0000-0001-7976-9987; Hand, Kathryn/0000-0003-4598-2469 1872-6062 | RAYYAN-INCLUSION: {"Sarah"=&gt;"Included"}</t>
  </si>
  <si>
    <t>10.1016/j.landurbplan.2019.103590</t>
  </si>
  <si>
    <t>rayyan-83177648</t>
  </si>
  <si>
    <t>Adaptation by stealth: climate information use in the Great Lakes region across scales</t>
  </si>
  <si>
    <t>Climatic Change</t>
  </si>
  <si>
    <t>451-465</t>
  </si>
  <si>
    <t>Rasmussen Laura and Kirchhoff Christine and Lemos Maria</t>
  </si>
  <si>
    <t>http://0-search.ebscohost.com.catalogue.libraries.london.ac.uk/login.aspx?direct=true&amp;db=a9h&amp;AN=120947581&amp;site=ehost-live</t>
  </si>
  <si>
    <t>Rasmussen, Laura 1; Email Address: laura_vang@yahoo.dk Kirchhoff, Christine 2 Lemos, Maria 1; Affiliation: 1: School of Natural Resources and Environment , University of Michigan , Ann Arbor USA 2: University of Connecticut , Storrs USA; Source Info: Feb2017, Vol. 140 Issue 3/4, p451; Subject Term: BIOLOGICAL adaptation; Subject Term: PUBLIC opinion on climate change; Subject Term: DECISION making in environmental policy; Subject Term: EFFECT of human beings on climate change; Subject Term: GREAT Lakes Region (North America); Number of Pages: 15p; Document Type: Article | RAYYAN-INCLUSION: {"Sarah"=&gt;"Included"}</t>
  </si>
  <si>
    <t>10.1007/s10584-016-1857-0</t>
  </si>
  <si>
    <t>eppi-reviewer;BIOLOGICAL adaptation PUBLIC opinion on climate change DECISION making in environmental policy EF...;on climate change GREAT Lake;Region (North America)</t>
  </si>
  <si>
    <t>rayyan-83177649</t>
  </si>
  <si>
    <t>Governance of forests and governance of forest information: Interlinkages in the age of open and digital data</t>
  </si>
  <si>
    <t>Rantala S and Swallow B and Paloniemi R and Raitanen E</t>
  </si>
  <si>
    <t>&lt;Go to ISI&gt;://WOS:000519530000004</t>
  </si>
  <si>
    <t>Rantala, Salla Swallow, Brent Paloniemi, Riikka Raitanen, Elina Rantala, Salla/0000-0002-8135-4569 1872-7050 | RAYYAN-INCLUSION: {"Philip"=&gt;"Excluded", "Carlos"=&gt;"Excluded", "Prishnee"=&gt;"Included"}</t>
  </si>
  <si>
    <t>10.1016/j.forpol.2020.102123</t>
  </si>
  <si>
    <t>rayyan-83177650</t>
  </si>
  <si>
    <t>Understanding barriers and opportunities for diffusion of an agricultural decision-support tool: An organizational perspective</t>
  </si>
  <si>
    <t>Journal of Hydrology</t>
  </si>
  <si>
    <t>Ranjan Pranay and Usher Emily M and Bates Hanna T and Zimmerman Emily K and Tyndall John C and Morris Chris J and Koontz Tomas M and Prokopy Linda S</t>
  </si>
  <si>
    <t>http://0-search.ebscohost.com.catalogue.libraries.london.ac.uk/login.aspx?direct=true&amp;db=a9h&amp;AN=155692757&amp;site=ehost-live</t>
  </si>
  <si>
    <t>Ranjan, Pranay 1; Email Address: ranjanp@purdue.edu Usher, Emily M. 1 Bates, Hanna T. 2 Zimmerman, Emily K. 3 Tyndall, John C. 3 Morris, Chris J. 4 Koontz, Tomas M. 5 Prokopy, Linda S. 6; Affiliation: 1: Department of Forestry &amp;amp; Natural Resources, Purdue University, United States 2: Iowa Water Center, Iowa State University, United States 3: Natural Resource Ecology and Management, Iowa State University, United States 4: Department of Sociology and Criminal Justice, Iowa State University, United States 5: School of Interdisciplinary Arts &amp;amp; Sciences, University of Washington Tacoma, United States 6: Department of Horticulture and Landscape Architecture, Purdue University, United States; Source Info: Apr2022, Vol. 607, pN.PAG; Subject Term: AGRICULTURAL implements; Subject Term: NONPOINT source pollution; Subject Term: CONSERVATION of natural resources; Subject Term: AGRICULTURAL conservation; Subject Term: FARM management; Subject Term: POLLUTION management; Author-Supplied Keyword: Agricultural conservation planning framework; Author-Supplied Keyword: Diffusion; Author-Supplied Keyword: Innovations; Author-Supplied Keyword: Organizational readiness; Author-Supplied Keyword: Semi-structured interviews; Author-Supplied Keyword: Watershed assessment; NAICS/Industry Codes: 417110 Farm, lawn and garden machinery and equipment merchant wholesalers; NAICS/Industry Codes: 333110 Agricultural implement manufacturing; NAICS/Industry Codes: 924120 Administration of Conservation Programs; NAICS/Industry Codes: 115116 Farm Management Services; NAICS/Industry Codes: 115110 Support activities for crop production; Number of Pages: 1p; Document Type: Article | RAYYAN-INCLUSION: {"Philip"=&gt;"Excluded", "Sarah"=&gt;"Included"}</t>
  </si>
  <si>
    <t>10.1016/j.jhydrol.2022.127584</t>
  </si>
  <si>
    <t>eppi-reviewer;AGRICULTURAL implement;NONPOINT;ource pollution CONSERVATION of natural re;ource;AGRICULTURAL con;ervation FARM management POLLUTION management Agricultural con;ervation planning framework Diffu;ion Innovation;Organizational readine;Semi-;tructured interview;Water;hed a;e;ment</t>
  </si>
  <si>
    <t>rayyan-83177651</t>
  </si>
  <si>
    <t>Understanding the use of decision support tools by conservation professionals and their education and training needs: An application of the Reasoned Action Approach</t>
  </si>
  <si>
    <t>Journal of Soil &amp; Water Conservation</t>
  </si>
  <si>
    <t>Ranjan P and Duriancik L F and Moriasi D N and Carlson D and Anderson K and Prokopy L S</t>
  </si>
  <si>
    <t>http://0-search.ebscohost.com.catalogue.libraries.london.ac.uk/login.aspx?direct=true&amp;db=a9h&amp;AN=143468930&amp;site=ehost-live</t>
  </si>
  <si>
    <t>Ranjan, P. 1 Duriancik, L. F. 2 Moriasi, D. N. 3 Carlson, D. 4 Anderson, K. 5 Prokopy, L. S. 6; Affiliation: 1: Postdoctoral research associate, Department of Forestry and Natural Resources, Purdue University, West Lafayette, Indiana 2: Conservation Effects Assessment Project (CEAP) Watershed assessment studies component leader, USDA Natural Resources Conservation Service (NRCS) Resource Inventory and Assessment Division, Outcomes Team, Beltsville, Maryland 3: Research hydrologist, USDA Agricultural Research Service (ARS) Grazinglands Research Laboratory, El Reno, Oklahoma 4: Conservation initiative coordinator (Mississippi River Basin Initiative, National Water Quality Initiative), USDA NRCS, Washington, DC 5: National water quality and quantity team leader, USDA NRCS, Portland, Oregon 6: Professor, Department of Forestry and Natural Resources, Purdue University, West Lafayette, Indiana; Source Info: May/Jun2020, Vol. 75 Issue 3, p387; Subject Term: TRAINING needs; Subject Term: STAKEHOLDER theory; Subject Term: GOVERNMENT aid; Subject Term: KNOWLEDGE gap theory; Subject Term: WATERSHEDS; Author-Supplied Keyword: Conservation Effects Assessment Project (CEAP); Author-Supplied Keyword: conservation planning; Author-Supplied Keyword: stakeholder engagement; Author-Supplied Keyword: survey; Author-Supplied Keyword: technical roles; Author-Supplied Keyword: watershed assessment; Number of Pages: 13p; Document Type: Article | RAYYAN-INCLUSION: {"Sarah"=&gt;"Included"}</t>
  </si>
  <si>
    <t>10.2489/jswc.75.3.387</t>
  </si>
  <si>
    <t>eppi-reviewer;TRAINING need;STAKEHOLDER theory GOVERNMENT aid KNOWLEDGE gap theory WATERSHEDS Con;ervation Effect;A;e;ment Project (CEAP) con;ervation planning;takeholder engagement;urvey technical role;water;hed a;ment</t>
  </si>
  <si>
    <t>rayyan-83177652</t>
  </si>
  <si>
    <t>Stakeholder perceptions of scientific knowledge in policy processes: A Peruvian case-study of forestry policy development</t>
  </si>
  <si>
    <t>Science &amp; Public Policy (SPP)</t>
  </si>
  <si>
    <t>504-517</t>
  </si>
  <si>
    <t>Ramirez Luisa F and Belcher Brian M</t>
  </si>
  <si>
    <t>http://0-search.ebscohost.com.catalogue.libraries.london.ac.uk/login.aspx?direct=true&amp;db=a9h&amp;AN=138277323&amp;site=ehost-live</t>
  </si>
  <si>
    <t>Ramirez, Luisa F 1; Email Address: rami9920@mylaurier.ca Belcher, Brian M 1; Affiliation: 1: Sustainability Research Effectiveness Program, College of Interdisciplinary Studies, Royal Roads University, Victoria, Canada; Source Info: Aug2019, Vol. 46 Issue 4, p504; Subject Term: SCIENTIFIC knowledge; Subject Term: SENSORY perception; Subject Term: FORESTS &amp;amp; forestry; Subject Term: DECISION making; Subject Term: DESIGN research; Subject Term: DEVELOPING countries; Author-Supplied Keyword: knowledge-policy models; Author-Supplied Keyword: reseach influence in decision-making; Author-Supplied Keyword: science-policy interface; Author-Supplied Keyword: stakeholders perceptions of research; Number of Pages: 14p; Document Type: Article | RAYYAN-INCLUSION: {"Iris"=&gt;"Maybe"}</t>
  </si>
  <si>
    <t>10.1093/scipol/scz003</t>
  </si>
  <si>
    <t>eppi-reviewer;SCIENTIFIC knowledge SENSORY perception FORESTS &amp; fore;try DECISION making DESIGN re;earch DEVELOPING countrie;knowledge-policy model;re;each influence in deci;ion-making;cience-policy interface;takeholder;perception;of re;earch</t>
  </si>
  <si>
    <t>rayyan-83177656</t>
  </si>
  <si>
    <t>Advocacy Coalitions and Knowledge Transfer within Geothermal Policy Change in Indonesian Conservation Forests</t>
  </si>
  <si>
    <t>Journal of Environment &amp; Development</t>
  </si>
  <si>
    <t>168-195</t>
  </si>
  <si>
    <t>Pratiwi Santi and Juerges Nataly</t>
  </si>
  <si>
    <t>http://0-search.ebscohost.com.catalogue.libraries.london.ac.uk/login.aspx?direct=true&amp;db=a9h&amp;AN=156728562&amp;site=ehost-live</t>
  </si>
  <si>
    <t>Pratiwi, Santi 1,2; Email Address: spratiw@gwdg.de Juerges, Nataly 1; Affiliation: 1: Chair Group of Forest and Nature Conservation Policy, Georg-August-University GÃ¶ttingen, GÃ¶ttingen, Germany 2: Central Java Nature Conservation Office, Ministry of Environment and Forestry, Indonesia; Source Info: Jun2022, Vol. 31 Issue 2, p168; Subject Term: FOREST conservation; Subject Term: GEOTHERMAL ecology; Subject Term: KNOWLEDGE transfer; Subject Term: GEOTHERMAL resources; Subject Term: FOREST management; Subject Term: FOREST policy; Author-Supplied Keyword: actor analysis; Author-Supplied Keyword: advocacy coalitions; Author-Supplied Keyword: conservation forests; Author-Supplied Keyword: geothermal project; Author-Supplied Keyword: policy change; Author-Supplied Keyword: scientific knowledge transfer; NAICS/Industry Codes: 115310 Support Activities for Forestry; NAICS/Industry Codes: 221116 Geothermal Electric Power Generation; NAICS/Industry Codes: 221330 Steam and Air-Conditioning Supply; Number of Pages: 28p; Document Type: Article | RAYYAN-INCLUSION: {"Alec"=&gt;"Excluded"}</t>
  </si>
  <si>
    <t>10.1177/10704965211070244</t>
  </si>
  <si>
    <t>eppi-reviewer;FOREST con;ervation GEOTHERMAL ecology KNOWLEDGE tran;fer GEOTHERMAL re;ource;FOREST management FOREST policy actor analy;i;advocacy coalition;con;ervation fore;t;geothermal project policy change;cientific knowledge tran;fer</t>
  </si>
  <si>
    <t>rayyan-83177658</t>
  </si>
  <si>
    <t>Evaluating the impacts of boundary-spanning activities at the interface of environmental science and policy: A review of progress and future research needs</t>
  </si>
  <si>
    <t>141-151</t>
  </si>
  <si>
    <t>Posner S M and Cvitanovic C</t>
  </si>
  <si>
    <t>https://ovidsp.ovid.com/ovidweb.cgi?T=JS&amp;CSC=Y&amp;NEWS=N&amp;PAGE=fulltext&amp;D=emed20&amp;AN=2001358967 https://discover.lshtm.ac.uk/openurl/44HYG/44HYG_services_page?sid=OVID:embase&amp;id=doi:10.1016%2Fj.envsci.2018.11.006&amp;id=pmid&amp;issn=1462-9011&amp;isbn=&amp;volume=92&amp;issue=&amp;spage=141&amp;pages=141-151&amp;date=2019&amp;title=Environmental+Science+and+Policy&amp;atitle=Evaluating+the+impacts+of+boundary-spanning+activities+at+the+interface+of+environmental+science+and+policy%3A+A+review+of+progress+and+future+research+needs&amp;aulast=</t>
  </si>
  <si>
    <t>RAYYAN-INCLUSION: {"Philip"=&gt;"Excluded"}</t>
  </si>
  <si>
    <t>rayyan-83177663</t>
  </si>
  <si>
    <t>Improving ESE policy through research-practice partnerships: Reflections and analysis from New York City</t>
  </si>
  <si>
    <t>Environmental Education Research</t>
  </si>
  <si>
    <t>595-613</t>
  </si>
  <si>
    <t>Pizmony-Levy Oren and McDermott Meredith and Copeland Thaddeus T</t>
  </si>
  <si>
    <t>https://ovidsp.ovid.com/ovidweb.cgi?T=JS&amp;CSC=Y&amp;NEWS=N&amp;PAGE=fulltext&amp;D=psyc18&amp;AN=2021-42812-009 https://discover.lshtm.ac.uk/openurl/44HYG/44HYG_services_page?sid=OVID:psycdb&amp;id=doi:10.1080%2F13504622.2021.1890696&amp;id=pmid&amp;issn=1350-4622&amp;isbn=&amp;volume=27&amp;issue=4&amp;spage=595&amp;pages=595-613&amp;date=2021&amp;title=Environmental+Education+Research&amp;atitle=Improving+ESE+policy+through+research-practice+partnerships%3A+Reflections+and+analysis+from+New+York+City.&amp;aulast=Pizmony-Levy&amp;pid=%3Cauthor%3EPizmony-Levy%2C</t>
  </si>
  <si>
    <t>RAYYAN-INCLUSION: {"Elina"=&gt;"Excluded"}</t>
  </si>
  <si>
    <t>rayyan-83177669</t>
  </si>
  <si>
    <t>Using visual products derived from community research to inform natural resource management policy</t>
  </si>
  <si>
    <t>Petheram L and Stacey N and Campbell B M and High C</t>
  </si>
  <si>
    <t>&lt;Go to ISI&gt;://WOS:000296041300001</t>
  </si>
  <si>
    <t>Petheram, Lisa Stacey, Natasha Campbell, Bruce M. High, Chris Campbell, Bruce/ABF-5579-2020; Stacey, Natasha/N-2225-2013 Stacey, Natasha/0000-0002-2262-9817 1873-5754 | RAYYAN-INCLUSION: {"Philip"=&gt;"Included", "Nibedita"=&gt;"Excluded", "Isobel"=&gt;"Excluded"}</t>
  </si>
  <si>
    <t>10.1016/j.landusepol.2011.04.002</t>
  </si>
  <si>
    <t>rayyan-83177670</t>
  </si>
  <si>
    <t>Identifying climate risk perceptions, information needs, and barriers to information exchange among public land managers</t>
  </si>
  <si>
    <t>245-254</t>
  </si>
  <si>
    <t>Peters Casey B and Schwartz Mark W and Lubell Mark N</t>
  </si>
  <si>
    <t>http://0-search.ebscohost.com.catalogue.libraries.london.ac.uk/login.aspx?direct=true&amp;db=a9h&amp;AN=126994073&amp;site=ehost-live</t>
  </si>
  <si>
    <t>Peters, Casey B. 1,2 Schwartz, Mark W. 1,3; Email Address: mwschwartz@ucdavis.edu Lubell, Mark N. 1,4; Affiliation: 1: Department of Environmental Science and Policy, University of California, Davis, CA 95616, USA 2: Graduate Group in Ecology, University of California, Davis, CA 95616, USA 3: John Muir Institute of the Environment, University of California, Davis, CA 95616, USA 4: Center for Environmental Policy and Behavior, University of California, Davis, CA 95616, USA; Source Info: Mar2018, Vol. 616/617, p245; Subject Term: CLIMATE change; Subject Term: INFORMATION sharing; Subject Term: PUBLIC land management; Subject Term: ECOSYSTEM management; Subject Term: LEADERSHIP; Subject Term: ENVIRONMENTAL protection planning; Author-Supplied Keyword: Adaptation; Author-Supplied Keyword: Attitudes; Author-Supplied Keyword: Climate change; Author-Supplied Keyword: Federal agency; Author-Supplied Keyword: Resource management; Author-Supplied Keyword: Risk; NAICS/Industry Codes: 924120 Administration of Conservation Programs; Number of Pages: 10p; Document Type: Article | RAYYAN-INCLUSION: {"Prishnee"=&gt;"Included", "Iris"=&gt;"Included"}</t>
  </si>
  <si>
    <t>10.1016/j.scitotenv.2017.11.015</t>
  </si>
  <si>
    <t>eppi-reviewer;CLIMATE change INFORMATION;haring PUBLIC land management ECOSYSTEM management LEADERSHIP ENVIRONMENTAL protection planning A...;Federal agency Re;ource management Ri;k</t>
  </si>
  <si>
    <t>rayyan-83177671</t>
  </si>
  <si>
    <t>Science, precaution and innovation for sustainable fisheries: The judgement by the Court of Justice of the EU regarding the electric pulse fishing ban</t>
  </si>
  <si>
    <t>Marine Policy</t>
  </si>
  <si>
    <t>0308-597X</t>
  </si>
  <si>
    <t>Penca J</t>
  </si>
  <si>
    <t>&lt;Go to ISI&gt;://WOS:000744255500003</t>
  </si>
  <si>
    <t>Penca, Jerneja 1872-9460 | RAYYAN-INCLUSION: {"Tabitha"=&gt;"Excluded"}</t>
  </si>
  <si>
    <t>10.1016/j.marpol.2021.104864</t>
  </si>
  <si>
    <t>rayyan-83177673</t>
  </si>
  <si>
    <t>Seeds of change? Seed transfer governance in British Columbia: insights from history</t>
  </si>
  <si>
    <t>Canadian Journal of Forest Research</t>
  </si>
  <si>
    <t>326-338</t>
  </si>
  <si>
    <t>Pelai Ricardo and Hagerman Shannon M and Kozak Robert</t>
  </si>
  <si>
    <t>http://0-search.ebscohost.com.catalogue.libraries.london.ac.uk/login.aspx?direct=true&amp;db=a9h&amp;AN=148820612&amp;site=ehost-live</t>
  </si>
  <si>
    <t>Pelai, Ricardo 1; Email Address: ricardo.pelai@alumni.ubc.ca Hagerman, Shannon M. 1 Kozak, Robert 1; Affiliation: 1: Faculty of Forestry, University of British Columbia, 2424 Main Mall, Vancouver, BC V6T 1Z4, Canada.; Source Info: 2021, Vol. 51 Issue 2, p326; Subject Term: SEEDS; Subject Term: FORESTS &amp;amp; forestry; Subject Term: FOREST productivity; Subject Term: FOREST policy; Subject Term: BRITISH Columbia; NAICS/Industry Codes: 115310 Support Activities for Forestry; NAICS/Industry Codes: 411190 Other farm product merchant wholesalers; NAICS/Industry Codes: 418320 Seed merchant wholesalers; NAICS/Industry Codes: 424910 Farm Supplies Merchant Wholesalers; Number of Pages: 13p; Document Type: Article | RAYYAN-INCLUSION: {"Alice"=&gt;"Excluded"}</t>
  </si>
  <si>
    <t>10.1139/cjfr-2020-0235</t>
  </si>
  <si>
    <t>eppi-reviewer;SEEDS FORESTS &amp; fore;try FOREST productivity FOREST policy BRITISH Columbia</t>
  </si>
  <si>
    <t>rayyan-83177688</t>
  </si>
  <si>
    <t>Principles for evaluating knowledge co-production in natural resource management: Incorporating decision-maker values</t>
  </si>
  <si>
    <t>109392-109392</t>
  </si>
  <si>
    <t>O'Connor R A and Nel J L and Roux D J and Lim-Camacho L and van Kerkhoff L and Leach J</t>
  </si>
  <si>
    <t>https://ovidsp.ovid.com/ovidweb.cgi?T=JS&amp;CSC=Y&amp;NEWS=N&amp;PAGE=fulltext&amp;D=med16&amp;AN=31446123 https://discover.lshtm.ac.uk/openurl/44HYG/44HYG_services_page?sid=OVID:medline&amp;id=doi:10.1016%2Fj.jenvman.2019.109392&amp;id=pmid31446123&amp;issn=0301-4797&amp;isbn=&amp;volume=249&amp;issue=&amp;spage=109392&amp;pages=109392&amp;date=2019&amp;title=Journal+of+Environmental+Management&amp;atitle=Principles+for+evaluating+knowledge+co-production+in+natural+resource+management%3A+Incorporating+decision-maker+values.&amp;aulast=O%27Connor&amp;pid=%3Cauthor%</t>
  </si>
  <si>
    <t>O'Connor, Ruth A. Climate Change Institute, The Australian National University, Canberra, Australia;</t>
  </si>
  <si>
    <t>O'Connor, Ruth A Nel, Jeanne L Roux, Dirk J Lim-Camacho, Lilly van Kerkhoff, Lorrae Leach, Joan | RAYYAN-INCLUSION: {"Alec"=&gt;"Included"}</t>
  </si>
  <si>
    <t>rayyan-83177692</t>
  </si>
  <si>
    <t>What drives the use of scientific evidence in decision making? The case of the South African Working for Water program</t>
  </si>
  <si>
    <t>136-144</t>
  </si>
  <si>
    <t>Ntshotsho Phumza and Prozesky Heidi E and Esler Karen J and Reyers Belinda</t>
  </si>
  <si>
    <t>http://0-search.ebscohost.com.catalogue.libraries.london.ac.uk/login.aspx?direct=true&amp;db=a9h&amp;AN=101925211&amp;site=ehost-live</t>
  </si>
  <si>
    <t>Ntshotsho, Phumza 1; Email Address: pntshotsho@csir.co.za Prozesky, Heidi E. 2; Email Address: hep@sun.ac.za Esler, Karen J. 3; Email Address: kje@sun.ac.za Reyers, Belinda 1; Email Address: breyers@csir.co.za; Affiliation: 1: Natural Resources and the Environment, CSIR, P.O. Box 320, Stellenbosch 7599, South Africa 2: Department of Sociology &amp;amp; Social Anthropology and Centre for Invasion Biology, Stellenbosch University, Private Bag x1, Matieland 7602, South Africa 3: Department of Conservation Ecology &amp;amp; Entomology and Centre for Invasion Biology, Stellenbosch University, Private Bag x1, Matieland 7602, South Africa; Source Info: Apr2015, Vol. 184, p136; Subject Term: SOCIAL context; Subject Term: INTRODUCED organisms; Subject Term: EVIDENCE-based management; Subject Term: NATURAL resources; Subject Term: DECISION making in science; Subject Term: SOUTH Africa; Author-Supplied Keyword: Invasive alien plant management; Author-Supplied Keyword: Research-implementation gap; Author-Supplied Keyword: Science-based decision making; Author-Supplied Keyword: Social context; Number of Pages: 9p; Document Type: Article | RAYYAN-INCLUSION: {"Isobel"=&gt;"Included"}</t>
  </si>
  <si>
    <t>10.1016/j.biocon.2015.01.021</t>
  </si>
  <si>
    <t>eppi-reviewer;SOCIAL context INTRODUCED organi;m;EVIDENCE-ba;ed management NATURAL re;ource;DECISION making in;cience SOUTH Africa Inva;ive alien plant management Re;earch-implementation gap Science-ba;ed deci;ion making</t>
  </si>
  <si>
    <t>rayyan-83177700</t>
  </si>
  <si>
    <t>Inclusive, Cross-Sectoral and Evidence-Based Decision-Making for Resilience Planning and Decision-Making in a Devolved Context</t>
  </si>
  <si>
    <t>European Journal of Development Research</t>
  </si>
  <si>
    <t>1115-1140</t>
  </si>
  <si>
    <t>Neely C L and Bourne M and Chesterman S and VÃ¥gen T G and Lekaram V and Winowiecki L A and Prabhu R</t>
  </si>
  <si>
    <t>http://0-search.ebscohost.com.catalogue.libraries.london.ac.uk/login.aspx?direct=true&amp;db=a9h&amp;AN=151304494&amp;site=ehost-live</t>
  </si>
  <si>
    <t>Neely, C. L. 1; Email Address: c.neely@cgiar.org Bourne, M. 1 Chesterman, S. 1 VÃ¥gen, T.-G. 1 Lekaram, V. 2 Winowiecki, L. A. 1 Prabhu, R. 1; Affiliation: 1: World Agroforestry Centre (ICRAF), P.O. Box 30677, Gigiri, 00100, Nairobi, Kenya 2: Department of Finance and Economic Planning, Turkana County Government, P.O. Box 11-30500, Lodwar, Kenya; Source Info: Aug2021, Vol. 33 Issue 4, p1115; Subject Term: DECISION making; Subject Term: ORGANIZATIONAL learning; Subject Term: TECHNICAL assistance; Subject Term: ORGANIZATIONAL change; Subject Term: SUSTAINABILITY; Subject Term: KENYA; Author-Supplied Keyword: Collaboration; Author-Supplied Keyword: Decentralisation; Author-Supplied Keyword: Stakeholder engagement; Number of Pages: 26p; Document Type: Article; Full Text Word Count: 9993 | RAYYAN-INCLUSION: {"Isobel"=&gt;"Excluded"}</t>
  </si>
  <si>
    <t>10.1057/s41287-021-00410-3</t>
  </si>
  <si>
    <t>eppi-reviewer;DECISION making ORGANIZATIONAL learning TECHNICAL a;i;tance ORGANIZATIONAL change SUSTAINABILITY KENYA Collaboration Decentrali;ation Stakeholder engagement</t>
  </si>
  <si>
    <t>rayyan-83177702</t>
  </si>
  <si>
    <t>Integrating evidence of land use and land cover change for land management policy formulation along the Kenya-Tanzania borderlands</t>
  </si>
  <si>
    <t>Anthropocene</t>
  </si>
  <si>
    <t>2213-3054</t>
  </si>
  <si>
    <t>Mustaphi C J. C and Capitani C and Boles O and Kariuki R and Newman R and Munishi L and Marchant R and Lane P</t>
  </si>
  <si>
    <t>&lt;Go to ISI&gt;://WOS:000500301900005</t>
  </si>
  <si>
    <t>Mustaphi, Colin J. Courtney Capitani, Claudia Boles, Oliver Kariuki, Rebecca Newman, Rebecca Munishi, Linus Marchant, Rob Lane, Paul Lane, Paul/AAK-1995-2020 Lane, Paul/0000-0002-9936-1310; Courtney Mustaphi, Colin/0000-0002-4439-2590 | RAYYAN-INCLUSION: {"Sarah"=&gt;"Excluded"}</t>
  </si>
  <si>
    <t>10.1016/j.ancene.2019.100228</t>
  </si>
  <si>
    <t>rayyan-83177705</t>
  </si>
  <si>
    <t>Diversifying knowledge governance for climate adaptation in protected areas in Colombia</t>
  </si>
  <si>
    <t>39-48</t>
  </si>
  <si>
    <t>Munera C and van Kerkhoff L</t>
  </si>
  <si>
    <t>https://ovidsp.ovid.com/ovidweb.cgi?T=JS&amp;CSC=Y&amp;NEWS=N&amp;PAGE=fulltext&amp;D=emed20&amp;AN=2001460219 https://discover.lshtm.ac.uk/openurl/44HYG/44HYG_services_page?sid=OVID:embase&amp;id=doi:10.1016%2Fj.envsci.2019.01.004&amp;id=pmid&amp;issn=1462-9011&amp;isbn=&amp;volume=94&amp;issue=&amp;spage=39&amp;pages=39-48&amp;date=2019&amp;title=Environmental+Science+and+Policy&amp;atitle=Diversifying+knowledge+governance+for+climate+adaptation+in+protected+areas+in+Colombia&amp;aulast=Munera&amp;pid=%3Cauthor%3EMunera+C.%3Bvan+Kerkhoff+L.%3C%2Fauthor%3E%3CAN%3E</t>
  </si>
  <si>
    <t>RAYYAN-INCLUSION: {"Iris"=&gt;"Included"}</t>
  </si>
  <si>
    <t>rayyan-83177706</t>
  </si>
  <si>
    <t>Champions as Influencers of Science uptake into australian coastal zone policy</t>
  </si>
  <si>
    <t>Coastal Management</t>
  </si>
  <si>
    <t>0892-0753</t>
  </si>
  <si>
    <t>495-511</t>
  </si>
  <si>
    <t>Mumford T and Harvey N</t>
  </si>
  <si>
    <t>&lt;Go to ISI&gt;://WOS:000343986800001</t>
  </si>
  <si>
    <t>Mumford, Taryn Harvey, Nick 1521-0421 | RAYYAN-INCLUSION: {"Philip"=&gt;"Included", "Tabitha"=&gt;"Excluded", "Prishnee"=&gt;"Included", "Valentin"=&gt;"Included", "fereshteh"=&gt;"Excluded", "Aidan"=&gt;"Maybe", "Nibedita"=&gt;"Included", "Isobel"=&gt;"Excluded"}</t>
  </si>
  <si>
    <t>10.1080/08920753.2014.964654</t>
  </si>
  <si>
    <t>rayyan-83177712</t>
  </si>
  <si>
    <t>Prescribed Burns in California: A Historical Case Study of the Integration of Scientific Research and Policy</t>
  </si>
  <si>
    <t>Fire-Switzerland</t>
  </si>
  <si>
    <t>2571-6255</t>
  </si>
  <si>
    <t>Miller R</t>
  </si>
  <si>
    <t>&lt;Go to ISI&gt;://WOS:000697569800019</t>
  </si>
  <si>
    <t>Miller, Rebecca | RAYYAN-INCLUSION: {"Alice"=&gt;"Excluded"}</t>
  </si>
  <si>
    <t>10.3390/fire3030044</t>
  </si>
  <si>
    <t>rayyan-83177713</t>
  </si>
  <si>
    <t>Using systematic reviews to inform environmental policy-making</t>
  </si>
  <si>
    <t>Evaluation</t>
  </si>
  <si>
    <t>210-230</t>
  </si>
  <si>
    <t>Miljand Matilda and Eckerberg Katarina</t>
  </si>
  <si>
    <t>http://0-search.ebscohost.com.catalogue.libraries.london.ac.uk/login.aspx?direct=true&amp;db=a9h&amp;AN=156728489&amp;site=ehost-live</t>
  </si>
  <si>
    <t>Miljand, Matilda 1; Email Address: matilda.miljand@statsvet.su.se Eckerberg, Katarina 2; Affiliation: 1: Stockholm University, Sweden 2: UmeÃ¥ University, Sweden; Source Info: Apr2022, Vol. 28 Issue 2, p210; Subject Term: SYSTEMATIC reviews; Subject Term: ENVIRONMENTAL policy; Subject Term: POLICY sciences; Subject Term: SCIENTIFIC knowledge; Subject Term: EVIDENCE-based management; Subject Term: ENVIRONMENTAL management; Author-Supplied Keyword: decision making; Author-Supplied Keyword: evaluation; Author-Supplied Keyword: evidence-based environmental policy; Author-Supplied Keyword: knowledge use; Author-Supplied Keyword: stakeholder involvement; Author-Supplied Keyword: systematic review; NAICS/Industry Codes: 912910 Other provincial and territorial public administration; NAICS/Industry Codes: 924110 Administration of Air and Water Resource and Solid Waste Management Programs; Number of Pages: 21p; Document Type: Article | RAYYAN-INCLUSION: {"Philip"=&gt;"Included", "Nibedita"=&gt;"Included"}</t>
  </si>
  <si>
    <t>10.1177/13563890221076540</t>
  </si>
  <si>
    <t>eppi-reviewer;SYSTEMATIC review;ENVIRONMENTAL policy POLICY;cience;SCIENTIFIC knowledge EVIDENCE-ba;ed management ENVIRONMENTAL management deci;ion making evaluation evidence-ba;ed environmental policy knowledge u;e;takeholder involvement;y;tematic review</t>
  </si>
  <si>
    <t>rayyan-83177721</t>
  </si>
  <si>
    <t>Facilitating knowledge transfer between researchers and wildfire practitioners about trust: An international case study</t>
  </si>
  <si>
    <t>Forestry Chronicle</t>
  </si>
  <si>
    <t>0015-7546</t>
  </si>
  <si>
    <t>167-171</t>
  </si>
  <si>
    <t>McGee T K and Curtis A and McFarlane B L and Shindler B and Christianson A and Olsen C and McCaffrey S</t>
  </si>
  <si>
    <t>&lt;Go to ISI&gt;://WOS:000383983100014</t>
  </si>
  <si>
    <t>Mcgee, Tara K. Curtis, Allan McFarlane, Bonita L. Shindler, Bruce Christianson, Amy Olsen, Christine McCaffrey, Sarah McGee, Tara/0000-0003-2234-8879 1499-9315 | RAYYAN-INCLUSION: {"Iris"=&gt;"Excluded"}</t>
  </si>
  <si>
    <t>10.5558/tfc2016-035</t>
  </si>
  <si>
    <t>rayyan-83177726</t>
  </si>
  <si>
    <t>Effective risk governance for environmental policy making: A knowledge management perspective</t>
  </si>
  <si>
    <t>23-32</t>
  </si>
  <si>
    <t>Mauelshagen C and Smith M and Schiller F and Denyer D and Rocks S and Pollard S</t>
  </si>
  <si>
    <t>https://ovidsp.ovid.com/ovidweb.cgi?T=JS&amp;CSC=Y&amp;NEWS=N&amp;PAGE=fulltext&amp;D=emed15&amp;AN=373163882 https://discover.lshtm.ac.uk/openurl/44HYG/44HYG_services_page?sid=OVID:embase&amp;id=doi:10.1016%2Fj.envsci.2014.04.014&amp;id=pmid&amp;issn=1462-9011&amp;isbn=&amp;volume=41&amp;issue=&amp;spage=23&amp;pages=23-32&amp;date=2014&amp;title=Environmental+Science+and+Policy&amp;atitle=Effective+risk+governance+for+environmental+policy+making%3A+A+knowledge+management+perspective&amp;aulast=Mauelshagen&amp;pid=%3Cauthor%3EMauelshagen+C.%3BSmith+M.%3BSchiller+F</t>
  </si>
  <si>
    <t>RAYYAN-INCLUSION: {"Philip"=&gt;"Excluded", "Prishnee"=&gt;"Included"}</t>
  </si>
  <si>
    <t>rayyan-83177733</t>
  </si>
  <si>
    <t>Public managers as catalysts of knowledge co-production? Investigating knowledge dynamics in local environmental policy</t>
  </si>
  <si>
    <t>Environmental Science &amp; Policy</t>
  </si>
  <si>
    <t>1462-9011</t>
  </si>
  <si>
    <t>141-150</t>
  </si>
  <si>
    <t>Maiello A and Viegas C V and Frey M and Ribeiro J L. D</t>
  </si>
  <si>
    <t>&lt;Go to ISI&gt;://WOS:000316843500013</t>
  </si>
  <si>
    <t>Maiello, Antonella Viegas, Claudia V. Frey, Marco Ribeiro, Jose Luis D. Ribeiro, Jose Luis/AAS-9382-2021; Ribeiro, Jose Luis Duarte/I-4276-2016 Ribeiro, Jose Luis/0000-0002-5795-4468; Ribeiro, Jose Luis Duarte/0000-0002-5795-4468 1873-6416 | RAYYAN-INCLUSION: {"Iris"=&gt;"Excluded"}</t>
  </si>
  <si>
    <t>10.1016/j.envsci.2012.12.007</t>
  </si>
  <si>
    <t>rayyan-83177734</t>
  </si>
  <si>
    <t>Scoping Science-Policy Arenas for Regional Ocean Governance in the Wider Caribbean Region</t>
  </si>
  <si>
    <t>Mahon R and Fanning L</t>
  </si>
  <si>
    <t>&lt;Go to ISI&gt;://WOS:000674638200001</t>
  </si>
  <si>
    <t>Mahon, Robin Fanning, Lucia 2296-7745 | RAYYAN-INCLUSION: {"Tabitha"=&gt;"Excluded"}</t>
  </si>
  <si>
    <t>10.3389/fmars.2021.685122</t>
  </si>
  <si>
    <t>rayyan-83177749</t>
  </si>
  <si>
    <t>It Is a Balancing Act: The Interface of Scientific Evidence and Policy in Support of Effective Marine Environmental Management</t>
  </si>
  <si>
    <t>Lonsdale J A and Gill A B and Alliji K and Birchenough S N. R and Blake S and Buckley H and Clarke C and Clarke S and Edmonds N and Fonseca L and Goodsir F and Griffith A and Judd A and Mulholland R and Perry J and Randall K and Wood D</t>
  </si>
  <si>
    <t>&lt;Go to ISI&gt;://WOS:000757381000001</t>
  </si>
  <si>
    <t>Lonsdale, Jemma-Anne Gill, Andrew B. Alliji, Khatija Birchenough, Silvana N. R. Blake, Sylvia Buckley, Holly Clarke, Charlotte Clarke, Stacey Edmonds, Nathan Fonseca, Leila Goodsir, Freya Griffith, Andrew Judd, Adrian Mulholland, Rachel Perry, Joe Randall, Karema Wood, Daniel Clarke, Stacey/0000-0003-0332-3959 2071-1050 | RAYYAN-INCLUSION: {"Elina"=&gt;"Excluded", "Iris"=&gt;"Included"}</t>
  </si>
  <si>
    <t>10.3390/su14031650</t>
  </si>
  <si>
    <t>rayyan-83177752</t>
  </si>
  <si>
    <t>25 Years of Criteria and Indicators for Sustainable Forest Management: How Intergovernmental C&amp;I Processes Have Made a Difference</t>
  </si>
  <si>
    <t>Forests</t>
  </si>
  <si>
    <t>Linser S and Wolfslehner B and Bridge S R. J and Gritten D and Johnson S and Payn T and Prins K and Rasi R and Robertson G</t>
  </si>
  <si>
    <t>&lt;Go to ISI&gt;://WOS:000448398100074</t>
  </si>
  <si>
    <t>Linser, Stefanie Wolfslehner, Bernhard Bridge, Simon R. J. Gritten, David Johnson, Steven Payn, Tim Prins, Kit Rasi, Rastislav Robertson, Guy Linser, Stefanie/AAF-1589-2020 Bridge, Simon/0000-0002-0717-8579; Payn, Tim/0000-0003-2482-6379; Linser, Stefanie/0000-0002-7505-4922 1999-4907 | RAYYAN-INCLUSION: {"Alec"=&gt;"Excluded"}</t>
  </si>
  <si>
    <t>10.3390/f9090578</t>
  </si>
  <si>
    <t>rayyan-83177753</t>
  </si>
  <si>
    <t>Establishing Priorities for Urban Green Infrastructure Research in Australia</t>
  </si>
  <si>
    <t>Urban Policy &amp; Research</t>
  </si>
  <si>
    <t>30-44</t>
  </si>
  <si>
    <t>Lin Brenda B and Meyers Jacqui A and Barnett Guy B</t>
  </si>
  <si>
    <t>http://0-search.ebscohost.com.catalogue.libraries.london.ac.uk/login.aspx?direct=true&amp;db=a9h&amp;AN=135588035&amp;site=ehost-live</t>
  </si>
  <si>
    <t>Lin, Brenda B. 1 Meyers, Jacqui A. 2 Barnett, Guy B. 2; Affiliation: 1: Land &amp;amp; Water, CSIRO Land and Water, Aspendale, Australia 2: Land and Water, CSIRO Land and Water, Canberra, Australia; Source Info: Mar2019, Vol. 37 Issue 1, p30; Subject Term: SUSTAINABLE urban development; Subject Term: URBAN planning; Subject Term: INFRASTRUCTURE (Economics); Subject Term: AUSTRALIA; Author-Supplied Keyword: climate adaptation; Author-Supplied Keyword: economic valuation; Author-Supplied Keyword: ecosystem services; Author-Supplied Keyword: green space; Author-Supplied Keyword: Urban planning; Author-Supplied Keyword: urban vegetation; NAICS/Industry Codes: 237210 Land Subdivision; NAICS/Industry Codes: 925120 Administration of Urban Planning and Community and Rural Development; Number of Pages: 15p; Document Type: Article | RAYYAN-INCLUSION: {"Philip"=&gt;"Excluded"}</t>
  </si>
  <si>
    <t>10.1080/08111146.2018.1523054</t>
  </si>
  <si>
    <t>eppi-reviewer;SUSTAINABLE urban development URBAN planning INFRASTRUCTURE (Economic;) AUSTRALIA climate adaptation economic valuation eco;y;tem;ervice;green;pace urban vegetation</t>
  </si>
  <si>
    <t>rayyan-83177754</t>
  </si>
  <si>
    <t>Improving Understanding and Management of Uncertainty in Science-Informed Collaborative Policy Processes</t>
  </si>
  <si>
    <t>Lilburne L and Robson-Williams M and Norton N</t>
  </si>
  <si>
    <t>&lt;Go to ISI&gt;://WOS:000802693400001</t>
  </si>
  <si>
    <t>Lilburne, Linda Robson-Williams, Melissa Norton, Ned Robson-Williams, Melissa/0000-0003-0318-3933; Lilburne, Linda/0000-0001-8886-6754 2071-1050 | RAYYAN-INCLUSION: {"Philip"=&gt;"Excluded", "Nibedita"=&gt;"Excluded"}</t>
  </si>
  <si>
    <t>10.3390/su14106041</t>
  </si>
  <si>
    <t>rayyan-83177764</t>
  </si>
  <si>
    <t>Scientific evidence, expert entrepreneurship, and ecosystem narratives in the UK Natural Environment White Paper</t>
  </si>
  <si>
    <t>24-32</t>
  </si>
  <si>
    <t>Lawton R N and Ruddb M A</t>
  </si>
  <si>
    <t>https://ovidsp.ovid.com/ovidweb.cgi?T=JS&amp;CSC=Y&amp;NEWS=N&amp;PAGE=fulltext&amp;D=emed17&amp;AN=609358602 https://discover.lshtm.ac.uk/openurl/44HYG/44HYG_services_page?sid=OVID:embase&amp;id=doi:10.1016%2Fj.envsci.2016.03.015&amp;id=pmid&amp;issn=1462-9011&amp;isbn=&amp;volume=61&amp;issue=&amp;spage=24&amp;pages=24-32&amp;date=2016&amp;title=Environmental+Science+and+Policy&amp;atitle=Scientific+evidence%2C+expert+entrepreneurship%2C+and+ecosystem+narratives+in+the+UK+Natural+Environment+White+Paper&amp;aulast=Lawton&amp;pid=%3Cauthor%3ELawton+R.N.%3BRuddb+M.</t>
  </si>
  <si>
    <t>RAYYAN-INCLUSION: {"Philip"=&gt;"Excluded", "Iris"=&gt;"Included"}</t>
  </si>
  <si>
    <t>rayyan-83177768</t>
  </si>
  <si>
    <t>Strengthening the Role of Science in the Environmental Decision-Making Processes of Executive Government</t>
  </si>
  <si>
    <t>Organization &amp; Environment</t>
  </si>
  <si>
    <t>1086-0266</t>
  </si>
  <si>
    <t>161-180</t>
  </si>
  <si>
    <t>Lalor B M and Hickey G M</t>
  </si>
  <si>
    <t>&lt;Go to ISI&gt;://WOS:000337575100004</t>
  </si>
  <si>
    <t>Lalor, Briony M. Hickey, Gordon M. Hickey, Gordon M/I-2200-2013 Hickey, Gordon/0000-0001-8169-5390 1552-7417 | RAYYAN-INCLUSION: {"Nibedita"=&gt;"Included"}</t>
  </si>
  <si>
    <t>10.1177/1086026614525641</t>
  </si>
  <si>
    <t>rayyan-83177772</t>
  </si>
  <si>
    <t>The SciencePolicy Nexus in Collaborative Governance: Use of Science in Ecosystem Recovery Planning</t>
  </si>
  <si>
    <t>Review of Policy Research</t>
  </si>
  <si>
    <t>1541-132X</t>
  </si>
  <si>
    <t>Koontz T M</t>
  </si>
  <si>
    <t>&lt;Go to ISI&gt;://WOS:000496006100001</t>
  </si>
  <si>
    <t>Koontz, Tomas M. Koontz, Tomas/0000-0002-3607-6272 1541-1338 | RAYYAN-INCLUSION: {"Sarah"=&gt;"Included"}</t>
  </si>
  <si>
    <t>10.1111/ropr.12362</t>
  </si>
  <si>
    <t>rayyan-83177773</t>
  </si>
  <si>
    <t>Use of science in collaborative environmental management: Evidence from local watershed partnerships in the Puget Sound</t>
  </si>
  <si>
    <t>17-23</t>
  </si>
  <si>
    <t>Koontz T M and Thomas C W</t>
  </si>
  <si>
    <t>https://ovidsp.ovid.com/ovidweb.cgi?T=JS&amp;CSC=Y&amp;NEWS=N&amp;PAGE=fulltext&amp;D=emed19&amp;AN=2000859366 https://discover.lshtm.ac.uk/openurl/44HYG/44HYG_services_page?sid=OVID:embase&amp;id=doi:10.1016%2Fj.envsci.2018.06.007&amp;id=pmid&amp;issn=1462-9011&amp;isbn=&amp;volume=88&amp;issue=&amp;spage=17&amp;pages=17-23&amp;date=2018&amp;title=Environmental+Science+and+Policy&amp;atitle=Use+of+science+in+collaborative+environmental+management%3A+Evidence+from+local+watershed+partnerships+in+the+Puget+Sound&amp;aulast=Koontz&amp;pid=%3Cauthor%3EKoontz+T.M.%3BTh</t>
  </si>
  <si>
    <t>RAYYAN-INCLUSION: {"Sarah"=&gt;"Included"}</t>
  </si>
  <si>
    <t>rayyan-83177775</t>
  </si>
  <si>
    <t>Guidelines for Operationalizing Policy Coherence for Development (PCD) as a Methodology for the Design and Implementation of Sustainable Development Strategies</t>
  </si>
  <si>
    <t>Koff H and Challenger A and Portillo I</t>
  </si>
  <si>
    <t>&lt;Go to ISI&gt;://WOS:000543421400113</t>
  </si>
  <si>
    <t>Koff, Harlan Challenger, Antony Portillo, Israel Koff, Harlan/ACK-4893-2022 Koff, Harlan/0000-0002-9799-0893; Portillo-Peralta, Jorge Israel/0000-0003-2031-9548; Challenger, Antony/0000-0002-3181-5910 2071-1050 | RAYYAN-INCLUSION: {"Alec"=&gt;"Excluded"}</t>
  </si>
  <si>
    <t>10.3390/su12104055</t>
  </si>
  <si>
    <t>rayyan-83177780</t>
  </si>
  <si>
    <t>Agencies navigating the political at the science-to-policy interface for nature-based solutions</t>
  </si>
  <si>
    <t>303-310</t>
  </si>
  <si>
    <t>Kirsop-Taylor N and Russel D</t>
  </si>
  <si>
    <t>https://ovidsp.ovid.com/ovidweb.cgi?T=JS&amp;CSC=Y&amp;NEWS=N&amp;PAGE=fulltext&amp;D=emexa&amp;AN=2015490612 https://discover.lshtm.ac.uk/openurl/44HYG/44HYG_services_page?sid=OVID:embase&amp;id=doi:10.1016%2Fj.envsci.2021.10.029&amp;id=pmid&amp;issn=1462-9011&amp;isbn=&amp;volume=127&amp;issue=&amp;spage=303&amp;pages=303-310&amp;date=2022&amp;title=Environmental+Science+and+Policy&amp;atitle=Agencies+navigating+the+political+at+the+science-to-policy+interface+for+nature-based+solutions&amp;aulast=Kirsop-Taylor&amp;pid=%3Cauthor%3EKirsop-Taylor+N.%3BRussel+D.%3C%</t>
  </si>
  <si>
    <t>RAYYAN-INCLUSION: {"Tabitha"=&gt;"Excluded"}</t>
  </si>
  <si>
    <t>rayyan-83177791</t>
  </si>
  <si>
    <t>Use of traditional knowledge by the United States Bureau of Ocean Energy Management to support resource management</t>
  </si>
  <si>
    <t>Czech Polar Reports</t>
  </si>
  <si>
    <t>151-163</t>
  </si>
  <si>
    <t>Kendall Jr and James J and Brooks Jeffrey J and Campbell Chris and Wedemeyer Kathleen L and Coon Catherine C and Warren Sharon E and Thurston Dennis K and Mann Frances E and Randall Sharon A and Storzer Mark A and Johnston David W and Haller Michael L and Auad Guillermo and Cluck Rodney E and Meyer-Pietruszka Deanna</t>
  </si>
  <si>
    <t>http://0-search.ebscohost.com.catalogue.libraries.london.ac.uk/login.aspx?direct=true&amp;db=a9h&amp;AN=137649665&amp;site=ehost-live</t>
  </si>
  <si>
    <t>Kendall Jr., James J. 1 Brooks, Jeffrey J. 1 Campbell, Chris 1 Wedemeyer, Kathleen L. 1 Coon, Catherine C. 1 Warren, Sharon E. 1 Thurston, Dennis K. 1 Mann, Frances E. 1 Randall, Sharon A. 1 Storzer, Mark A. 1 Johnston, David W. 1 Haller, Michael L. 1 Auad, Guillermo 2 Cluck, Rodney E. 2 Meyer-Pietruszka, Deanna 3; Affiliation: 1: Bureau of Ocean Energy Management, Department of the Interior, Anchorage, AK, USA 2: Bureau of Ocean Energy Management, Department of the Interior, Sterling, VA, USA 3: Bureau of Ocean Energy Management, Department of the Interior, Washington DC, USA; Source Info: 2017, Vol. 7 Issue 2, p151; Subject Term: TRADITIONAL knowledge; Subject Term: RESOURCE management; Subject Term: SCIENCE; Subject Term: DECISION making; Subject Term: ALASKA; Author-Supplied Keyword: Adaptive process; Author-Supplied Keyword: consultation; Author-Supplied Keyword: decision making; Author-Supplied Keyword: environmental impact analysis; Author-Supplied Keyword: indigenous knowledge; Author-Supplied Keyword: mitigation; Author-Supplied Keyword: North Slope Borough; Author-Supplied Keyword: scientific research; Author-Supplied Keyword: subsistence; Number of Pages: 13p; Document Type: Article | RAYYAN-INCLUSION: {"Carlos"=&gt;"Excluded"}</t>
  </si>
  <si>
    <t>10.5817/CPR2017-2-15</t>
  </si>
  <si>
    <t>eppi-reviewer;TRADITIONAL knowledge RESOURCE management SCIENCE DECISION making ALASKA Adaptive proce;con;ultation environmental impact analy;i;indigenou;knowledge mitigation North Slope Borough;cientific re;earch;ub;tence</t>
  </si>
  <si>
    <t>rayyan-83177792</t>
  </si>
  <si>
    <t>The MSY concept in a multi-objective fisheries environment - Lessons from the North Sea</t>
  </si>
  <si>
    <t>146-158</t>
  </si>
  <si>
    <t>Kempf A and Mumford J and Levontin P and Leach A and Hoff A and Hamon K G and Bartelings H and Vinther M and Stabler M and Poos J J and Smout S and Frost H and van den Burg S and Ulrich C and Rindorf A</t>
  </si>
  <si>
    <t>&lt;Go to ISI&gt;://WOS:000377228800016</t>
  </si>
  <si>
    <t>Kempf, Alexander Mumford, John Levontin, Polina Leach, Adrian Hoff, Ayoe Hamon, Katell G. Bartelings, Heleen Vinther, Morten Staebler, Moritz Poos, Jan Jaap Smout, Sophie Frost, Hans van den Burg, Sander Ulrich, Clara Rindorf, Anna Levontin, Polina/AAG-7070-2019; Ulrich, Clara/F-3583-2011; Rindorf, Anna/AAX-3463-2021; Hamon, Katell G/C-7206-2011 Levontin, Polina/0000-0001-8229-4054; Ulrich, Clara/0000-0001-7598-2051; Rindorf, Anna/0000-0002-4290-3983; Hamon, Katell G/0000-0002-6419-8947; Stabler, Moritz/0000-0002-9987-2532; Leach, Adrian/0000-0002-8781-2874; Vinther, Morten/0000-0002-2535-5575; Mumford, John/0000-0001-8964-1784; Bartelings, Heleen/0000-0002-4423-3717; van den Burg, Sander/0000-0003-3849-482X 1872-9460 | RAYYAN-INCLUSION: {"Philip"=&gt;"Excluded", "Tabitha"=&gt;"Excluded", "Prishnee"=&gt;"Included", "Valentin"=&gt;"Excluded", "fereshteh"=&gt;"Included", "Aidan"=&gt;"Included", "Nibedita"=&gt;"Included", "Isobel"=&gt;"Excluded"}</t>
  </si>
  <si>
    <t>10.1016/j.marpol.2016.04.012</t>
  </si>
  <si>
    <t>rayyan-83177815</t>
  </si>
  <si>
    <t>Do environmental systematic reviews impact policy and practice? Author perspectives on the application of their work</t>
  </si>
  <si>
    <t>159-167</t>
  </si>
  <si>
    <t>Jacaban E and Rytwinski T and Taylor J J and Young N and Nguyen V M and Cooke S J</t>
  </si>
  <si>
    <t>https://ovidsp.ovid.com/ovidweb.cgi?T=JS&amp;CSC=Y&amp;NEWS=N&amp;PAGE=fulltext&amp;D=emexb&amp;AN=2016451843 https://discover.lshtm.ac.uk/openurl/44HYG/44HYG_services_page?sid=OVID:embase&amp;id=doi:10.1016%2Fj.envsci.2021.12.019&amp;id=pmid&amp;issn=1462-9011&amp;isbn=&amp;volume=129&amp;issue=&amp;spage=159&amp;pages=159-167&amp;date=2022&amp;title=Environmental+Science+and+Policy&amp;atitle=Do+environmental+systematic+reviews+impact+policy+and+practice%3F+Author+perspectives+on+the+application+of+their+work&amp;aulast=Jacaban&amp;pid=%3Cauthor%3EJacaban+E.%3BRy</t>
  </si>
  <si>
    <t>RAYYAN-INCLUSION: {"Prishnee"=&gt;"Included"}</t>
  </si>
  <si>
    <t>rayyan-83177821</t>
  </si>
  <si>
    <t>The Use of Science in Wildland Fire Management: a Review of Barriers and Facilitators</t>
  </si>
  <si>
    <t>Current Forestry Reports</t>
  </si>
  <si>
    <t>2198-6436</t>
  </si>
  <si>
    <t>354-367</t>
  </si>
  <si>
    <t>Hunter M E and Colavito M M and Wright V</t>
  </si>
  <si>
    <t>&lt;Go to ISI&gt;://WOS:000578521900001</t>
  </si>
  <si>
    <t>Hunter, Molly E. Colavito, Melanie M. Wright, Vita | RAYYAN-INCLUSION: {"Alice"=&gt;"Excluded"}</t>
  </si>
  <si>
    <t>10.1007/s40725-020-00127-2</t>
  </si>
  <si>
    <t>rayyan-83177834</t>
  </si>
  <si>
    <t>The integration of social science information into Great Lakes fishery management: Opportunities and challenges</t>
  </si>
  <si>
    <t>Fisheries Research</t>
  </si>
  <si>
    <t>30-37</t>
  </si>
  <si>
    <t>Heck Nadine and Stedman Richard C and Gaden Marc</t>
  </si>
  <si>
    <t>http://0-search.ebscohost.com.catalogue.libraries.london.ac.uk/login.aspx?direct=true&amp;db=a9h&amp;AN=102072878&amp;site=ehost-live</t>
  </si>
  <si>
    <t>Heck, Nadine 1; Email Address: tnm_heck@yahoo.de Stedman, Richard C. 1 Gaden, Marc 2; Affiliation: 1: Department of Natural Resources, Cornell University, Ithaca, NY, USA 2: Great Lakes Fishery Commission, Ann Arbor, MI, USA; Source Info: Jul2015, Vol. 167, p30; Subject Term: SOCIAL sciences; Subject Term: INFORMATION theory; Subject Term: FISHERY management; Subject Term: LAKE ecology; Subject Term: ENVIRONMENTAL impact analysis; Author-Supplied Keyword: Fisheries; Author-Supplied Keyword: Interdisciplinary decision-making; Author-Supplied Keyword: Social sciences; Author-Supplied Keyword: Socialâ€“ecological systems; NAICS/Industry Codes: 112511 Finfish Farming and Fish Hatcheries; NAICS/Industry Codes: 541720 Research and Development in the Social Sciences and Humanities; Number of Pages: 8p; Document Type: Article | RAYYAN-INCLUSION: {"Matthew"=&gt;"Included", "Prishnee"=&gt;"Included"}</t>
  </si>
  <si>
    <t>10.1016/j.fishres.2015.01.008</t>
  </si>
  <si>
    <t>eppi-reviewer;SOCIAL;cience;INFORMATION theory FISHERY management LAKE ecology ENVIRONMENTAL impact analy;i;Fi;herie;Interdi;ciplinary deci;ion-making Socialâ€“ecological;y;tem</t>
  </si>
  <si>
    <t>rayyan-83177839</t>
  </si>
  <si>
    <t>Coastal residential waterways, science and policy-making: The Australian experience</t>
  </si>
  <si>
    <t>Estuarine Coastal &amp; Shelf Science</t>
  </si>
  <si>
    <t>A1-A13</t>
  </si>
  <si>
    <t>Harvey Nick and Stocker Laura</t>
  </si>
  <si>
    <t>http://0-search.ebscohost.com.catalogue.libraries.london.ac.uk/login.aspx?direct=true&amp;db=a9h&amp;AN=101934698&amp;site=ehost-live</t>
  </si>
  <si>
    <t>Harvey, Nick 1; Email Address: nicholas.harvey@adelaide.edu.au Stocker, Laura 2; Affiliation: 1: The University of Adelaide, South Australia, Australia 2: Curtin University, Western Australia, Australia; Source Info: Mar2015, Vol. 155, pA1; Subject Term: ABSOLUTE sea level change; Subject Term: WATERWAYS; Subject Term: ESTUARIES; Subject Term: SCIENCE &amp;amp; state; Subject Term: AUSTRALIA; Author-Supplied Keyword: canal estates; Author-Supplied Keyword: climate change impacts; Author-Supplied Keyword: coastal residential waterways; Author-Supplied Keyword: coastal zone management; Author-Supplied Keyword: estuaries; Author-Supplied Keyword: science in policy; NAICS/Industry Codes: 237990 Other Heavy and Civil Engineering Construction; Number of Pages: 1p; Document Type: Article | RAYYAN-INCLUSION: {"Philip"=&gt;"Excluded"}</t>
  </si>
  <si>
    <t>10.1016/j.ecss.2014.12.019</t>
  </si>
  <si>
    <t>eppi-reviewer;ABSOLUTE;ea level change WATERWAYS ESTUARIES SCIENCE &amp;;tate AUSTRALIA canal e;tate;climate change impact;coa;tal re;idential waterway;tal zone management;cience in policy</t>
  </si>
  <si>
    <t>rayyan-83177845</t>
  </si>
  <si>
    <t>Agricultural Advisors as Climate Information Intermediaries: Exploring Differences in Capacity to Communicate Climate</t>
  </si>
  <si>
    <t>Weather Climate and Society</t>
  </si>
  <si>
    <t>1948-8327</t>
  </si>
  <si>
    <t>83-93</t>
  </si>
  <si>
    <t>Haigh T and Morton L W and Lemos M C and Knutson C and Prokopy L S and Lo Y J and Angel J</t>
  </si>
  <si>
    <t>&lt;Go to ISI&gt;://WOS:000348973400007</t>
  </si>
  <si>
    <t>Haigh, Tonya Morton, Lois Wright Lemos, Maria Carmen Knutson, Cody Prokopy, Linda Stalker Lo, Yun Jia Angel, Jim mahsum, masot/ABC-4546-2020 Lemos, Maria Carmen/0000-0001-6686-730X; Angel, James/0000-0002-4720-9384; Haigh, Tonya/0000-0002-5240-685X 1948-8335 | RAYYAN-INCLUSION: {"Iris"=&gt;"Excluded"}</t>
  </si>
  <si>
    <t>10.1175/wcas-d-14-00015.1</t>
  </si>
  <si>
    <t>rayyan-83177850</t>
  </si>
  <si>
    <t>Raising the voice of science in complex socio-political contexts: an assessment of contested water decisions</t>
  </si>
  <si>
    <t>Journal of Environmental Policy &amp; Planning</t>
  </si>
  <si>
    <t>1523-908X</t>
  </si>
  <si>
    <t>242-260</t>
  </si>
  <si>
    <t>Greenhalgh S and Muller K and Thomas S and Campbell M L and Harter T</t>
  </si>
  <si>
    <t>&lt;Go to ISI&gt;://WOS:000723461500001</t>
  </si>
  <si>
    <t>Greenhalgh, Suzie Muller, Karin Thomas, Steve Campbell, Marsha L. Harter, Thomas Mueller, Karin/J-5871-2013; Thomas, Steve/F-2064-2013 Mueller, Karin/0000-0002-5224-0984; Harter, Thomas/0000-0001-8526-3843; Thomas, Steve/0000-0002-9202-483X; Greenhalgh, Suzie/0000-0002-4972-5059 1522-7200 | RAYYAN-INCLUSION: {"Philip"=&gt;"Excluded", "Aidan"=&gt;"Excluded"}</t>
  </si>
  <si>
    <t>10.1080/1523908x.2021.2007762</t>
  </si>
  <si>
    <t>rayyan-83177859</t>
  </si>
  <si>
    <t>Producing actionable science in conservation: Best practices for organizations and individuals</t>
  </si>
  <si>
    <t>Gerber Leah R and Barton Chris J and Cheng Samantha H and Anderson Derrick</t>
  </si>
  <si>
    <t>http://0-search.ebscohost.com.catalogue.libraries.london.ac.uk/login.aspx?direct=true&amp;db=a9h&amp;AN=147379750&amp;site=ehost-live</t>
  </si>
  <si>
    <t>Gerber, Leah R. 1 Barton, Chris J. 1,2; Email Address: cjbarton@tbird.asu.edu Cheng, Samantha H. 1,3 Anderson, Derrick 1,4,5; Affiliation: 1: Center for Biodiversity Outcomes, Tempe Arizona, USA 2: School for the Future of Innovation in Society, Arizona State University, Tempe Arizona, USA 3: American Museum of Natural History, New York City New York, USA 4: School of Public Affairs, Arizona State University, Tempe Arizona, USA 5: Center for Organizational Research and Design, Arizona State University, Tempe Arizona, USA; Source Info: Dec2020, Vol. 2 Issue 12, p1; Subject Term: BIODIVERSITY conservation; Subject Term: SCIENCE education; Subject Term: ORGANIZATIONAL change; Subject Term: CAREER development; Subject Term: GOVERNMENT policy; Author-Supplied Keyword: actionable science; Author-Supplied Keyword: best practices; Author-Supplied Keyword: coâ€production; Author-Supplied Keyword: conservation; Author-Supplied Keyword: evidence informed decisionâ€making; NAICS/Industry Codes: 624310 Vocational Rehabilitation Services; NAICS/Industry Codes: 611430 Professional and Management Development Training; Number of Pages: 15p; Document Type: Article; Full Text Word Count: 9750 | RAYYAN-INCLUSION: {"Isobel"=&gt;"Included"}</t>
  </si>
  <si>
    <t>10.1111/csp2.295</t>
  </si>
  <si>
    <t>eppi-reviewer;BIODIVERSITY con;ervation SCIENCE education ORGANIZATIONAL change CAREER development GOVERNMENT policy actionable;cience be;t practice;coâ€production con;ervation evidence informed deci;ionâ€making</t>
  </si>
  <si>
    <t>rayyan-83177868</t>
  </si>
  <si>
    <t>Tools and methods to support adaptive policy making in marine areas: Review and implementation of the Adaptive Marine Policy Toolbox</t>
  </si>
  <si>
    <t>Ocean &amp; Coastal Management</t>
  </si>
  <si>
    <t>0964-5691</t>
  </si>
  <si>
    <t>25-35</t>
  </si>
  <si>
    <t>Furlan E and Torresan S and Ronco P and Critto A and Breil M and Kontogianni A and Garmendia M and Pascual M and Sauzade D and Skourtos M and Marcomini A</t>
  </si>
  <si>
    <t>&lt;Go to ISI&gt;://WOS:000418973100003</t>
  </si>
  <si>
    <t>Furlan, E. Torresan, S. Ronco, P. Critto, A. Breil, M. Kontogianni, A. Garmendia, M. Pascual, M. Sauzade, D. Skourtos, M. Marcomini, A. Furlan, Elisa/AAA-4247-2021 Kontogianni, Areti/0000-0002-9183-6211; FURLAN, ELISA/0000-0001-6105-7447; TORRESAN, Silvia/0000-0002-9758-7084 1873-524x | RAYYAN-INCLUSION: {"Matthew"=&gt;"Excluded"}</t>
  </si>
  <si>
    <t>10.1016/j.ocecoaman.2017.10.029</t>
  </si>
  <si>
    <t>rayyan-83177869</t>
  </si>
  <si>
    <t>Promoting uptake and use of conservation science in South Africa by government</t>
  </si>
  <si>
    <t>105-113</t>
  </si>
  <si>
    <t>Funke N and Nienaber S</t>
  </si>
  <si>
    <t>https://search.ebscohost.com/login.aspx?direct=true&amp;AuthType=cookie,ip,shib&amp;db=awn&amp;AN=wsa-73316&amp;site=ehost-live</t>
  </si>
  <si>
    <t>Database Contributor: AFRICAN JOURNALS ONLINE [AJOL]. Database Contributor ID: wsa-73316. Language: English. Publication Type: Peer-reviewed Article. Accession Number: wsa-73316. | RAYYAN-INCLUSION: {"Carlos"=&gt;"Included"}</t>
  </si>
  <si>
    <t>eppi-reviewer;Science uptake;implementation;scientific research products;conservation science;South Africa</t>
  </si>
  <si>
    <t>rayyan-83177874</t>
  </si>
  <si>
    <t>Reviewers' perceptions of the volume of information provided in environmental impact statements: The case for refocusing attention on what is relevant</t>
  </si>
  <si>
    <t>Journal of Cleaner Production</t>
  </si>
  <si>
    <t>0959-6526</t>
  </si>
  <si>
    <t>Fonseca A and Fernandez G M. R</t>
  </si>
  <si>
    <t>&lt;Go to ISI&gt;://WOS:000510823700100</t>
  </si>
  <si>
    <t>Fonseca, Alberto Rivera Fernandez, German Marino 1879-1786 | RAYYAN-INCLUSION: {"Nibedita"=&gt;"Excluded"}</t>
  </si>
  <si>
    <t>10.1016/j.jclepro.2019.119757</t>
  </si>
  <si>
    <t>rayyan-83177892</t>
  </si>
  <si>
    <t>To what extent are land resource managers preparing for high-end climate change in Scotland?</t>
  </si>
  <si>
    <t>181-195</t>
  </si>
  <si>
    <t>Dunn Miriam and Rounsevell Mark and Carlsen Henrik and Dzebo Adis and LourenÃ§o Tiago and Hagg Joseph</t>
  </si>
  <si>
    <t>http://0-search.ebscohost.com.catalogue.libraries.london.ac.uk/login.aspx?direct=true&amp;db=a9h&amp;AN=121548733&amp;site=ehost-live</t>
  </si>
  <si>
    <t>Dunn, Miriam 1; Email Address: miriam.dunn@ed.ac.uk Rounsevell, Mark 1; Email Address: mark.rounsevell@ed.ac.uk Carlsen, Henrik 2; Email Address: henrik.carlsen@sei-international.org Dzebo, Adis 2; Email Address: adis.dzebo@sei-international.org LourenÃ§o, Tiago 3; Email Address: tcapela@fc.ul.pt Hagg, Joseph 4; Email Address: joseph@sniffer.org.uk; Affiliation: 1: Institute of Geography, School of Geosciences , University of Edinburgh , Drummond street Edinburgh EH8 9XP Scotland 2: Stockholm Environment Institute , Stockholm Sweden 3: Faculty of Sciences , University of Lisbon , Lisboa Portugal 4: Adaptation Scotland/SNIFFER , Edinburgh Scotland; Source Info: Mar2017, Vol. 141 Issue 2, p181; Subject Term: CLIMATE change; Subject Term: LAND resource; Subject Term: DECISION making; Subject Term: STAKEHOLDERS; Subject Term: ADAPTABILITY (Personality); Subject Term: MANAGEMENT; Subject Term: UNITED Kingdom; Number of Pages: 15p; Document Type: Article | RAYYAN-INCLUSION: {"Alice"=&gt;"Excluded"}</t>
  </si>
  <si>
    <t>10.1007/s10584-016-1881-0</t>
  </si>
  <si>
    <t>eppi-reviewer;CLIMATE change LAND re;ource DECISION making STAKEHOLDERS ADAPTABILITY (Per;onality) MANAGEMENT UNITED Kingdom</t>
  </si>
  <si>
    <t>rayyan-83177898</t>
  </si>
  <si>
    <t>When evidence does not matter: The barriers to learning from science in two cases of environmental policy change in Brazil</t>
  </si>
  <si>
    <t>313-321</t>
  </si>
  <si>
    <t>Donadelli Flavia</t>
  </si>
  <si>
    <t>http://0-search.ebscohost.com.catalogue.libraries.london.ac.uk/login.aspx?direct=true&amp;db=a9h&amp;AN=144287609&amp;site=ehost-live</t>
  </si>
  <si>
    <t>Donadelli, Flavia 1; Email Address: flavia.donadelli@vuw.ac.nz; Affiliation: 1: School of Government, Victoria University of Wellington , Level 8 Rutherford House, 23 Lambton Quay, Pipitea Campus, Wellington 6011, New Zealand; Source Info: Jun2020, Vol. 47 Issue 3, p313; Subject Term: ENVIRONMENTAL policy; Subject Term: SCIENTIFIC community; Subject Term: GOVERNMENT policy; Subject Term: SCIENTISTS; Subject Term: DEBATE; Subject Term: POLICY sciences; Subject Term: BRAZIL; NAICS/Industry Codes: 924110 Administration of Air and Water Resource and Solid Waste Management Programs; NAICS/Industry Codes: 912910 Other provincial and territorial public administration; Number of Pages: 9p; Document Type: Article; Full Text Word Count: 8992 | RAYYAN-INCLUSION: {"Nibedita"=&gt;"Excluded"}</t>
  </si>
  <si>
    <t>10.1093/scipol/scaa006</t>
  </si>
  <si>
    <t>eppi-reviewer;ENVIRONMENTAL policy SCIENTIFIC community GOVERNMENT policy SCIENTISTS DEBATE POLICY;cience;BRAZIL</t>
  </si>
  <si>
    <t>rayyan-83177910</t>
  </si>
  <si>
    <t>Grizzly Bear Management in the Kananaskis Valley: Forty Years of Figuring It Out</t>
  </si>
  <si>
    <t>Den Hoed D C and Murphy M N and Halpenny E A and Mucha D</t>
  </si>
  <si>
    <t>&lt;Go to ISI&gt;://WOS:000602002900001</t>
  </si>
  <si>
    <t>Carruthers Den Hoed, Don Murphy, Michelle N. Halpenny, Elizabeth A. Mucha, Debbie Carruthers Den Hoed, Don/0000-0002-7402-9119; Murphy, Michelle/0000-0002-9004-1409 2073-445x | RAYYAN-INCLUSION: {"Alec"=&gt;"Included"}</t>
  </si>
  <si>
    <t>10.3390/land9120501</t>
  </si>
  <si>
    <t>rayyan-83177918</t>
  </si>
  <si>
    <t>A conceptual model to improve links between science, policy and practice in coastal management</t>
  </si>
  <si>
    <t>42-49</t>
  </si>
  <si>
    <t>Dale P and Sporne I and Knight J and Sheaves M and Eslami-Andergoli L and Dwyer P</t>
  </si>
  <si>
    <t>&lt;Go to ISI&gt;://WOS:000463125700006</t>
  </si>
  <si>
    <t>Dale, Pat Sporne, Ilva Knight, Jon Sheaves, Marcus Eslami-Andergoli, Leila Dwyer, Patrick Dwyer, Patrick G/Z-4074-2019; Knight, Jonathan/G-3015-2011 Dwyer, Patrick G/0000-0001-6099-7138; SPORNE, Ilva/0000-0003-0629-2449; Knight, Jonathan/0000-0002-9009-0980 1872-9460 | RAYYAN-INCLUSION: {"Sarah"=&gt;"Excluded"}</t>
  </si>
  <si>
    <t>10.1016/j.marpol.2019.02.029</t>
  </si>
  <si>
    <t>rayyan-83177919</t>
  </si>
  <si>
    <t>Strategies for building and managing 'trust' to enable knowledge exchange at the interface of environmental science and policy</t>
  </si>
  <si>
    <t>179-189</t>
  </si>
  <si>
    <t>Cvitanovic C and Shellock R J and Mackay M and van Putten E I and Karcher D B and Dickey-Collas M and Ballesteros M</t>
  </si>
  <si>
    <t>https://ovidsp.ovid.com/ovidweb.cgi?T=JS&amp;CSC=Y&amp;NEWS=N&amp;PAGE=fulltext&amp;D=emed22&amp;AN=2012504269 https://discover.lshtm.ac.uk/openurl/44HYG/44HYG_services_page?sid=OVID:embase&amp;id=doi:10.1016%2Fj.envsci.2021.05.020&amp;id=pmid&amp;issn=1462-9011&amp;isbn=&amp;volume=123&amp;issue=&amp;spage=179&amp;pages=179-189&amp;date=2021&amp;title=Environmental+Science+and+Policy&amp;atitle=Strategies+for+building+and+managing+%27trust%27+to+enable+knowledge+exchange+at+the+interface+of+environmental+science+and+policy&amp;aulast=Cvitanovic&amp;pid=%3Cauthor%3</t>
  </si>
  <si>
    <t>RAYYAN-INCLUSION: {"Philip"=&gt;"Included"}</t>
  </si>
  <si>
    <t>rayyan-83177922</t>
  </si>
  <si>
    <t>Building university-based boundary organisations that facilitate impacts on environmental policy and practice</t>
  </si>
  <si>
    <t>e0203752-e0203752</t>
  </si>
  <si>
    <t>Cvitanovic C and Lof M F and Norstrom A V and Reed M S</t>
  </si>
  <si>
    <t>https://ovidsp.ovid.com/ovidweb.cgi?T=JS&amp;CSC=Y&amp;NEWS=N&amp;PAGE=fulltext&amp;D=med15&amp;AN=30212515 https://discover.lshtm.ac.uk/openurl/44HYG/44HYG_services_page?sid=OVID:medline&amp;id=doi:10.1371%2Fjournal.pone.0203752&amp;id=pmid30212515&amp;issn=1932-6203&amp;isbn=&amp;volume=13&amp;issue=9&amp;spage=e0203752&amp;pages=e0203752&amp;date=2018&amp;title=PLoS+ONE+%5BElectronic+Resource%5D&amp;atitle=Building+university-based+boundary+organisations+that+facilitate+impacts+on+environmental+policy+and+practice.&amp;aulast=Cvitanovic&amp;pid=%3Cauthor%3ECvitan</t>
  </si>
  <si>
    <t>Cvitanovic, Christopher. Centre for Marine Socioecology, University of Tasmania, Hobart, Australia.</t>
  </si>
  <si>
    <t>Cvitanovic, Christopher Lof, Marie F Norstrom, Albert V Reed, Mark S | RAYYAN-INCLUSION: {"Sarah"=&gt;"Included"}</t>
  </si>
  <si>
    <t>rayyan-83177923</t>
  </si>
  <si>
    <t>Using Social Network Analysis to Monitor and Assess the Effectiveness of Knowledge Brokers at Connecting Scientists and Decision-Makers: An Australian case study</t>
  </si>
  <si>
    <t>Environmental Policy and Governance</t>
  </si>
  <si>
    <t>1756-932X</t>
  </si>
  <si>
    <t>256-269</t>
  </si>
  <si>
    <t>Cvitanovic C and Cunningham R and Dowd A M and Howden S M and van Putten E I</t>
  </si>
  <si>
    <t>&lt;Go to ISI&gt;://WOS:000406002600006</t>
  </si>
  <si>
    <t>Cvitanovic, C. Cunningham, R. Dowd, A-M. Howden, S. M. van Putten, E. I. Cunningham, Rebecca/AAQ-7340-2020 Cunningham, Rebecca/0000-0001-8066-9019; Cvitanovic, Christopher/0000-0002-2565-3396 1756-9338 | RAYYAN-INCLUSION: {"Prishnee"=&gt;"Included"}</t>
  </si>
  <si>
    <t>10.1002/eet.1752</t>
  </si>
  <si>
    <t>rayyan-83177931</t>
  </si>
  <si>
    <t>Dissemination of Environmental Information and its Effects on Stakeholders' Decision-Making: A Comparative Study between Swedish and Polish Municipalities</t>
  </si>
  <si>
    <t>NISPAcee Journal of Public Administration &amp; Policy</t>
  </si>
  <si>
    <t>CregÃ¥rd Anna and Sobis Iwona</t>
  </si>
  <si>
    <t>http://0-search.ebscohost.com.catalogue.libraries.london.ac.uk/login.aspx?direct=true&amp;db=a9h&amp;AN=127365122&amp;site=ehost-live</t>
  </si>
  <si>
    <t>CregÃ¥rd, Anna Sobis, Iwona; Source Info: Dec2017, Vol. 10 Issue 2, p9; Subject Term: STAKEHOLDERS; Subject Term: ENVIRONMENTAL economics; Subject Term: MUNICIPAL government; Subject Term: ECONOMIC development; Subject Term: SUSTAINABLE development; Subject Term: POLAND; Author-Supplied Keyword: Action Agenda 21; Author-Supplied Keyword: dissemination; Author-Supplied Keyword: environmental information; Author-Supplied Keyword: environmental sustainability; Author-Supplied Keyword: practical work; Author-Supplied Keyword: Sustainable development; NAICS/Industry Codes: 926110 Administration of General Economic Programs; Number of Pages: 39p; Document Type: Article | RAYYAN-INCLUSION: {"Tabitha"=&gt;"Included"}</t>
  </si>
  <si>
    <t>10.1515/nispa-2017-0010</t>
  </si>
  <si>
    <t>eppi-reviewer;STAKEHOLDERS ENVIRONMENTAL economic;MUNICIPAL government ECONOMIC development SUSTAINABLE development POLAND Action Agenda 21 di;emination environmental information environmental;u;tainability practical work</t>
  </si>
  <si>
    <t>rayyan-83177935</t>
  </si>
  <si>
    <t>Social involvement in environmental governance: The relevance of quality assurance processes in forest planning</t>
  </si>
  <si>
    <t>710-715</t>
  </si>
  <si>
    <t>Corral S and Monagas M C</t>
  </si>
  <si>
    <t>&lt;Go to ISI&gt;://WOS:000413280200061</t>
  </si>
  <si>
    <t>Corral, Serafin Cristo Monagas, Maria Corral, Serafin/B-6063-2015 Corral, Serafin/0000-0002-2715-4048 1873-5754 | RAYYAN-INCLUSION: {"Alice"=&gt;"Excluded"}</t>
  </si>
  <si>
    <t>10.1016/j.landusepol.2017.07.017</t>
  </si>
  <si>
    <t>rayyan-83177940</t>
  </si>
  <si>
    <t>Utilising scientific information to support resilient forest and fire management</t>
  </si>
  <si>
    <t>International Journal of Wildland Fire</t>
  </si>
  <si>
    <t>1049-8001</t>
  </si>
  <si>
    <t>375-383</t>
  </si>
  <si>
    <t>Colavito M M</t>
  </si>
  <si>
    <t>&lt;Go to ISI&gt;://WOS:000400919100003</t>
  </si>
  <si>
    <t>Colavito, Melanie M. Colavito, Melanie/AAB-9224-2020 Colavito, Melanie/0000-0003-2089-5158 1448-5516 | RAYYAN-INCLUSION: {"Matthew"=&gt;"Included", "Elina"=&gt;"Included"}</t>
  </si>
  <si>
    <t>10.1071/wf16158</t>
  </si>
  <si>
    <t>rayyan-83177952</t>
  </si>
  <si>
    <t>The Gulfwatch contaminants monitoring program in the Gulf of Maine: Are its data being used for ocean protection, with special reference to Nova Scotia, Canada?</t>
  </si>
  <si>
    <t>Marine Pollution Bulletin</t>
  </si>
  <si>
    <t>781-787</t>
  </si>
  <si>
    <t>Chamberlain S D and Wells P G and MacDonald B H</t>
  </si>
  <si>
    <t>https://ovidsp.ovid.com/ovidweb.cgi?T=JS&amp;CSC=Y&amp;NEWS=N&amp;PAGE=fulltext&amp;D=med15&amp;AN=28986110 https://discover.lshtm.ac.uk/openurl/44HYG/44HYG_services_page?sid=OVID:medline&amp;id=doi:10.1016%2Fj.marpolbul.2017.09.050&amp;id=pmid28986110&amp;issn=0025-326X&amp;isbn=&amp;volume=127&amp;issue=&amp;spage=781&amp;pages=781-787&amp;date=2018&amp;title=Marine+Pollution+Bulletin&amp;atitle=The+Gulfwatch+contaminants+monitoring+program+in+the+Gulf+of+Maine%3A+Are+its+data+being+used+for+ocean+protection%2C+with+special+reference+to+Nova+Scotia%2C+Cana</t>
  </si>
  <si>
    <t>Chamberlain, Sarah D. Marine Affairs Program, Dalhousie University, Halifax B3H 4R2, Canada. Electro</t>
  </si>
  <si>
    <t>Chamberlain, Sarah D Wells, Peter G MacDonald, Bertrum H | RAYYAN-INCLUSION: {"Philip"=&gt;"Excluded", "Aidan"=&gt;"Included"}</t>
  </si>
  <si>
    <t>rayyan-83177962</t>
  </si>
  <si>
    <t>The rocky path from policy-relevant science to policy implementation - a case study from the South American Chaco</t>
  </si>
  <si>
    <t>Current Opinion in Environmental Sustainability</t>
  </si>
  <si>
    <t>1877-3435</t>
  </si>
  <si>
    <t>57-66</t>
  </si>
  <si>
    <t>Caceres D M and Silvetti F and Diaz S</t>
  </si>
  <si>
    <t>&lt;Go to ISI&gt;://WOS:000378029700008</t>
  </si>
  <si>
    <t>Caceres, Daniel M. Silvetti, Felicitas Diaz, Sandra Diaz, Sandra/Q-9804-2018; DÃ­az, Sandra/ABE-7349-2020 DÃ­az, Sandra/0000-0003-0012-4612 1877-3443 | RAYYAN-INCLUSION: {"Tabitha"=&gt;"Included"}</t>
  </si>
  <si>
    <t>10.1016/j.cosust.2015.12.003</t>
  </si>
  <si>
    <t>rayyan-83177971</t>
  </si>
  <si>
    <t>Civil society participation in the Scottish marine planning process and the role of Environmental Non-Governmental Organisations</t>
  </si>
  <si>
    <t>Journal of Environmental Planning &amp; Management</t>
  </si>
  <si>
    <t>2101-2123</t>
  </si>
  <si>
    <t>Brooker E E and Hopkins C R and Devenport E and Greenhill L and Duncan C</t>
  </si>
  <si>
    <t>http://0-search.ebscohost.com.catalogue.libraries.london.ac.uk/login.aspx?direct=true&amp;db=a9h&amp;AN=139228400&amp;site=ehost-live</t>
  </si>
  <si>
    <t>Brooker, E.E. 1; Email Address: estherebrooker@gmail.com Hopkins, C.R. 2,3 Devenport, E. 4 Greenhill, L. 5 Duncan, C. 4,6; Affiliation: 1: WWF Scotland, Edinburgh, UK 2: Department of Geography and Planning, University of Liverpool, Liverpool, UK 3: Institute of Biodiversity, Animal Health and Comparative Medicine, University of Glasgow, Glasgow, UK 4: Scottish Environment LINK, Perth, UK 5: Scottish Association of Marine Science, Dunbeg, Oban, UK 6: Marine Conservation Society, CBC House, Edinburgh, UK; Source Info: Oct2019, Vol. 62 Issue 12, p2101; Subject Term: PRODUCTION planning; Subject Term: CIVIL society; Subject Term: PARTICIPATION; Subject Term: TECHNICAL information; Subject Term: ADULT education workshops; Subject Term: SUSTAINABLE development; Subject Term: SCOTLAND; Author-Supplied Keyword: civil society; Author-Supplied Keyword: Environmental NGO; Author-Supplied Keyword: marine planning; Author-Supplied Keyword: public participation; Author-Supplied Keyword: Scotland; NAICS/Industry Codes: 541614 Process, Physical Distribution, and Logistics Consulting Services; NAICS/Industry Codes: 926110 Administration of General Economic Programs; Number of Pages: 23p; Illustrations: 2 Charts; Document Type: Article; Full Text Word Count: 11155 | RAYYAN-INCLUSION: {"Carlos"=&gt;"Excluded"}</t>
  </si>
  <si>
    <t>10.1080/09640568.2018.1532876</t>
  </si>
  <si>
    <t>eppi-reviewer;PRODUCTION planning CIVIL;ociety PARTICIPATION TECHNICAL information ADULT education work;hop;SUSTAINABLE development SCOTLAND Environmental NGO marine planning public participation</t>
  </si>
  <si>
    <t>rayyan-83177977</t>
  </si>
  <si>
    <t>The Synthesis of Everglades Restoration and Ecosystem Services (SERES): a case study for interactive knowledge exchange to guide Everglades restoration</t>
  </si>
  <si>
    <t>Restoration Ecology</t>
  </si>
  <si>
    <t>S18-S26</t>
  </si>
  <si>
    <t>Borkhataria Rena R and Wetzel Paul R and Henriquez Hiram and Davis Stephen E</t>
  </si>
  <si>
    <t>http://0-search.ebscohost.com.catalogue.libraries.london.ac.uk/login.aspx?direct=true&amp;db=a9h&amp;AN=125967620&amp;site=ehost-live</t>
  </si>
  <si>
    <t>Borkhataria, Rena R. 1; Email Address: rrbork@ufl.edu Wetzel, Paul R. 2 Henriquez, Hiram 3 Davis, Stephen E. 4; Affiliation: 1: Everglades Research and Education Center, University of Florida, Belle Glade FL, U.S.A. 2: Center for the Environment, Ecological Design and Sustainability, Smith College, Northampton MA, U.S.A. 3: H2H Graphics &amp;amp; Design Inc., Doral FL, U.S.A. 4: Everglades Foundation, Palmetto Bay FL, U.S.A.; Source Info: Oct2017 Supplement S1, Vol. 25, pS18; Subject Term: RESTORATION ecology; Subject Term: WETLAND restoration; Subject Term: INFORMATION sharing; Subject Term: DECISION making; Subject Term: EVERGLADES (Fla.); Author-Supplied Keyword: boundary organization; Author-Supplied Keyword: infographics; Author-Supplied Keyword: knowledge exchange; Author-Supplied Keyword: nonscientists; Author-Supplied Keyword: science communication; Number of Pages: 9p; Illustrations: 1 Illustration; Document Type: Article | RAYYAN-INCLUSION: {"Philip"=&gt;"Excluded", "Aidan"=&gt;"Excluded", "Isobel"=&gt;"Excluded"}</t>
  </si>
  <si>
    <t>10.1111/rec.12593</t>
  </si>
  <si>
    <t>eppi-reviewer;RESTORATION ecology WETLAND re;toration INFORMATION;haring DECISION making EVERGLADES (Fla.) boundary organization infographic;knowledge exchange non;cienti;t;cience communication</t>
  </si>
  <si>
    <t>rayyan-83177980</t>
  </si>
  <si>
    <t>Public participation in soil surveys: lessons from a pilot study in England</t>
  </si>
  <si>
    <t>Environmental Science &amp; Technology</t>
  </si>
  <si>
    <t>3687-3696</t>
  </si>
  <si>
    <t>Bone J and Archer M and Barraclough D and Eggleton P and Flight D and Head M and Jones D T and Scheib C and Voulvoulis N</t>
  </si>
  <si>
    <t>https://ovidsp.ovid.com/ovidweb.cgi?T=JS&amp;CSC=Y&amp;NEWS=N&amp;PAGE=fulltext&amp;D=med9&amp;AN=22393874 https://discover.lshtm.ac.uk/openurl/44HYG/44HYG_services_page?sid=OVID:medline&amp;id=doi:10.1021%2Fes203880p&amp;id=pmid22393874&amp;issn=0013-936X&amp;isbn=&amp;volume=46&amp;issue=7&amp;spage=3687&amp;pages=3687-96&amp;date=2012&amp;title=Environmental+Science+%26+Technology&amp;atitle=Public+participation+in+soil+surveys%3A+lessons+from+a+pilot+study+in+England.&amp;aulast=Bone&amp;pid=%3Cauthor%3EBone+J%3BArcher+M%3BBarraclough+D%3BEggleton+P%3BFlight+D%3</t>
  </si>
  <si>
    <t>Bone, James. Centre for Environmental Policy, Imperial College London, London, United Kingdom.</t>
  </si>
  <si>
    <t>Bone, James Archer, Michael Barraclough, Declan Eggleton, Paul Flight, Dee Head, Martin Jones, David T Scheib, Catherine Voulvoulis, Nikolaos | RAYYAN-INCLUSION: {"Philip"=&gt;"Excluded", "Nibedita"=&gt;"Excluded"}</t>
  </si>
  <si>
    <t>rayyan-83177982</t>
  </si>
  <si>
    <t>Hybrid transnational advocacy networks in environmental protection: banning the use of cyanide in European gold mining</t>
  </si>
  <si>
    <t>International Environmental Agreements-Politics Law and Economics</t>
  </si>
  <si>
    <t>1567-9764</t>
  </si>
  <si>
    <t>285-303</t>
  </si>
  <si>
    <t>Bocse A M</t>
  </si>
  <si>
    <t>&lt;Go to ISI&gt;://WOS:000547227200003</t>
  </si>
  <si>
    <t>Bocse, Alexandra-Maria 1573-1553 | RAYYAN-INCLUSION: {"Isobel"=&gt;"Excluded"}</t>
  </si>
  <si>
    <t>10.1007/s10784-020-09492-6</t>
  </si>
  <si>
    <t>rayyan-83177984</t>
  </si>
  <si>
    <t>Bridging natural resource communication boundaries: Public perceptions of smoke from wildland fires and forest managers' perspectives of climate change science</t>
  </si>
  <si>
    <t>978-1-303-68813-3</t>
  </si>
  <si>
    <t>Blades Jarod J and Force Jo Ellen</t>
  </si>
  <si>
    <t>https://www.proquest.com/dissertations-theses/bridging-natural-resource-communication/docview/1499079796/se-2?accountid=14511 https://ucl-new-primo.hosted.exlibrisgroup.com/openurl/UCL/UCL_VU2?url_ver=Z39.88-2004&amp;rft_val_fmt=info:ofi/fmt:kev:mtx:dissertation&amp;genre=dissertations&amp;sid=ProQ:International+Bibliography+of+the+Social+Sciences+%28IBSS%29&amp;atitle=&amp;title=Bridging+natural+resource+communication+boundaries%3A+Public+perceptions+of+smoke+from+wildland+fires+and+forest+managers%27+perspective</t>
  </si>
  <si>
    <t>Ann Arbor</t>
  </si>
  <si>
    <t>Copyright - Database copyright ProQuest LLC; ProQuest does not claim copyright in the individual underlying works. Last updated - 2021-05-21 | RAYYAN-INCLUSION: {"Matthew"=&gt;"Excluded"}</t>
  </si>
  <si>
    <t>eppi-reviewer;Communication and the arts;Psychology;Health and environmental sciences;Boundary objects;Climate change;Perception;Risk perception;Smoke;Wildland fire;Communication;Natural Resource Management;Cognitive psychology;0633:Cognitive psychology;0459:Communication;0528:Natural Resource Management</t>
  </si>
  <si>
    <t>rayyan-83177991</t>
  </si>
  <si>
    <t>Evaluating policy-relevant research: lessons from a series of theory-based outcomes assessments</t>
  </si>
  <si>
    <t>Palgrave Communications</t>
  </si>
  <si>
    <t>2055-1045</t>
  </si>
  <si>
    <t>Belcher B and Suryadarma D and Halimanjaya A</t>
  </si>
  <si>
    <t>&lt;Go to ISI&gt;://WOS:000453950100001</t>
  </si>
  <si>
    <t>Belcher, Brian Suryadarma, Daniel Halimanjaya, Aidy Suryadarma, Daniel/ABI-3288-2020 | RAYYAN-INCLUSION: {"Matthew"=&gt;"Excluded", "Philip"=&gt;"Included", "Tabitha"=&gt;"Included", "Prishnee"=&gt;"Included", "Valentin"=&gt;"Included", "fereshteh"=&gt;"Excluded", "Aidan"=&gt;"Excluded", "Nibedita"=&gt;"Included", "Isobel"=&gt;"Excluded"}</t>
  </si>
  <si>
    <t>10.1057/palcomms.2017.17</t>
  </si>
  <si>
    <t>rayyan-83177993</t>
  </si>
  <si>
    <t>Learning the wrong lessons? Science and fisheries management in the Chesapeake Bay blue crab fishery</t>
  </si>
  <si>
    <t>Public Understanding of Science</t>
  </si>
  <si>
    <t>401-417</t>
  </si>
  <si>
    <t>Beem Betsi</t>
  </si>
  <si>
    <t>http://journals.sagepub.com/doi/10.1177/0963662510374177</t>
  </si>
  <si>
    <t>SAGE PublicationsSage UK: London, England</t>
  </si>
  <si>
    <t>10.1177/0963662510374177</t>
  </si>
  <si>
    <t>eppi-reviewer;decision making in science;discourses of science;framing risk;interaction experts/publics;public understanding of science</t>
  </si>
  <si>
    <t>rayyan-83177994</t>
  </si>
  <si>
    <t>Science-policy intermediaries from a practitioner's perspective: The Lenfest Ocean Program experience</t>
  </si>
  <si>
    <t>Science and Public Policy</t>
  </si>
  <si>
    <t>0302-3427</t>
  </si>
  <si>
    <t>291-300</t>
  </si>
  <si>
    <t>Bednarek A T and Shouse B and Hudson C G and Goldburg R</t>
  </si>
  <si>
    <t>&lt;Go to ISI&gt;://WOS:000376405700014</t>
  </si>
  <si>
    <t>Bednarek, Angela T. Shouse, Ben Hudson, Charlotte G. Goldburg, Rebecca 1471-5430 | RAYYAN-INCLUSION: {"Nibedita"=&gt;"Excluded"}</t>
  </si>
  <si>
    <t>10.1093/scipol/scv008</t>
  </si>
  <si>
    <t>rayyan-83177996</t>
  </si>
  <si>
    <t>Forest Policy Information Networks and the Role of Trust: Cooperative and Competitive Orientations and Underlying Causes</t>
  </si>
  <si>
    <t>1999-4907</t>
  </si>
  <si>
    <t>Baycheva-Merger T</t>
  </si>
  <si>
    <t>&lt;Go to ISI&gt;://WOS:000467303600067</t>
  </si>
  <si>
    <t>Baycheva-Merger, Tanya | RAYYAN-INCLUSION: {"Matthew"=&gt;"Included", "Philip"=&gt;"Included", "Tabitha"=&gt;"Included", "Prishnee"=&gt;"Included", "Valentin"=&gt;"Included", "fereshteh"=&gt;"Included", "Aidan"=&gt;"Included", "Nibedita"=&gt;"Included", "Isobel"=&gt;"Included"}</t>
  </si>
  <si>
    <t>10.3390/f10040359</t>
  </si>
  <si>
    <t>rayyan-83177997</t>
  </si>
  <si>
    <t>Institutional and Actor-Oriented Factors Constraining Expert-Based Forest Information Exchange in Europe: A Policy Analysis from an Actor-Centred Institutionalist Approach</t>
  </si>
  <si>
    <t>Baycheva-Merger T and Sotirov M and Holmgren S and Selter A</t>
  </si>
  <si>
    <t>&lt;Go to ISI&gt;://WOS:000428508200032</t>
  </si>
  <si>
    <t>Baycheva-Merger, Tanya Sotirov, Metodi Holmgren, Sara Selter, Andy Sotirov, Metodi/T-8199-2019 Sotirov, Metodi/0000-0002-3548-707X | RAYYAN-INCLUSION: {"Nibedita"=&gt;"Included", "Isobel"=&gt;"Included"}</t>
  </si>
  <si>
    <t>10.3390/f9030129</t>
  </si>
  <si>
    <t>rayyan-83178000</t>
  </si>
  <si>
    <t>What Sources Are Natural Resource Managers Using to Make Decisions?</t>
  </si>
  <si>
    <t>Journal of Wildlife Management</t>
  </si>
  <si>
    <t>1543-1553</t>
  </si>
  <si>
    <t>Barrett Kyle and Rodriguez Shari L</t>
  </si>
  <si>
    <t>http://0-search.ebscohost.com.catalogue.libraries.london.ac.uk/login.aspx?direct=true&amp;db=a9h&amp;AN=152949847&amp;site=ehost-live</t>
  </si>
  <si>
    <t>Barrett, Kyle 1 Rodriguez, Shari L. 1; Email Address: slrodri@clemson.edu; Affiliation: 1: Clemson University, 261 Lehotsky Hall, Clemson SC, 29634, , USA; Source Info: Nov2021, Vol. 85 Issue 8, p1543; Subject Term: NATURAL resources management; Subject Term: ENVIRONMENTAL agencies; Subject Term: DECISION making; Subject Term: NATURAL resources; Subject Term: INFORMATION resources; Subject Term: EXECUTIVES; Subject Term: UNITED States; Author-Supplied Keyword: evidenceâ€based; Author-Supplied Keyword: expert opinion; Author-Supplied Keyword: management decision; Author-Supplied Keyword: peerâ€reviewed literature; Author-Supplied Keyword: sources; Author-Supplied Keyword: state natural resource agencies; NAICS/Industry Codes: 924110 Administration of Air and Water Resource and Solid Waste Management Programs; Number of Pages: 11p; Document Type: Article; Full Text Word Count: 9142 | RAYYAN-INCLUSION: {"Philip"=&gt;"Included", "Nibedita"=&gt;"Included"}</t>
  </si>
  <si>
    <t>10.1002/jwmg.22112</t>
  </si>
  <si>
    <t>eppi-reviewer;evidence-based;expert opinion;management decision;peer-reviewed literature;sources;state natural resource agencies</t>
  </si>
  <si>
    <t>rayyan-83178010</t>
  </si>
  <si>
    <t>Bridging practices, institutions, and landscapes through a scale-based approach for research and practice: A case study of a business association in South India</t>
  </si>
  <si>
    <t>Ecological Economics</t>
  </si>
  <si>
    <t>240-250</t>
  </si>
  <si>
    <t>Asokan Vivek Anand and Yarime Masaru and Onuki Motoharu</t>
  </si>
  <si>
    <t>http://0-search.ebscohost.com.catalogue.libraries.london.ac.uk/login.aspx?direct=true&amp;db=a9h&amp;AN=135792402&amp;site=ehost-live</t>
  </si>
  <si>
    <t>Asokan, Vivek Anand 1; Email Address: viv.asok@gmail.com Yarime, Masaru 1; Email Address: yarime@ust.hk Onuki, Motoharu 1; Email Address: onuki@k.u-tokyo.ac.jp; Affiliation: 1: Graduate Program in Sustainability Science (GPSS), Division of Environmental Studies, Graduate School of Frontier Sciences, The University of Tokyo, Kashiwa City, Chiba 277-8563, Japan; Source Info: Jun2019, Vol. 160, p240; Subject Term: SCIENTIFIC knowledge; Subject Term: CASE studies; Subject Term: TRADE associations; Subject Term: SOCIAL sciences; Subject Term: LAND degradation; Subject Term: RESTORATION ecology; Subject Term: INDIA; Author-Supplied Keyword: Business association; Author-Supplied Keyword: Corporate responsibility; Author-Supplied Keyword: Ecosystems; Author-Supplied Keyword: Scale-based approach; Author-Supplied Keyword: Sustainability science; NAICS/Industry Codes: 541720 Research and Development in the Social Sciences and Humanities; NAICS/Industry Codes: 813910 Business Associations; NAICS/Industry Codes: 813930 Labor Unions and Similar Labor Organizations; Number of Pages: 11p; Document Type: Article; Full Text Word Count: 10854 | RAYYAN-INCLUSION: {"Iris"=&gt;"Excluded"}</t>
  </si>
  <si>
    <t>10.1016/j.ecolecon.2019.02.022</t>
  </si>
  <si>
    <t>eppi-reviewer;Business association;Corporate responsibility;Ecosystems;Scale-based approach;Sustainability science</t>
  </si>
  <si>
    <t>rayyan-83178026</t>
  </si>
  <si>
    <t>Getting the evidence: using research in policy making</t>
  </si>
  <si>
    <t xml:space="preserve"> and GREAT BRITAIN National Audit Office</t>
  </si>
  <si>
    <t>Stationery Office</t>
  </si>
  <si>
    <t>RAYYAN-INCLUSION: {"Alice"=&gt;"Excluded"}</t>
  </si>
  <si>
    <t>EPPI-REVIEWER</t>
  </si>
  <si>
    <t>rayyan-83178031</t>
  </si>
  <si>
    <t>Evidence-Based Practice and the Use of Information in State Agency Decision Making.</t>
  </si>
  <si>
    <t>245 - 266</t>
  </si>
  <si>
    <t xml:space="preserve">Jennings, Edward T.1 and Hall, Jeremy L.2 and </t>
  </si>
  <si>
    <t>Accession Number: 74075160; Authors: Jennings, Edward T. 1;Â Hall, Jeremy L. 2; Affiliations:  1: University of Kentucky;  2: University of Texas at Dallas; Subject: Essays; Subject: Government agencies; Subject: Decision making; Subject: Government policy; Subject: Problem solving; Number of Pages: 22p; Illustrations: 5 Charts; Record Type: Essay | RAYYAN-INCLUSION: {"Elina"=&gt;"Excluded"}</t>
  </si>
  <si>
    <t>rayyan-83178033</t>
  </si>
  <si>
    <t>Compliance of Australian threatened species recovery plans with legislative requirements.</t>
  </si>
  <si>
    <t>2054 - 2060</t>
  </si>
  <si>
    <t xml:space="preserve">Ortega-Argueta, Alejandro, alejandro.ortega@inecol.edu.mx and Baxter, Greg1 and Hockings, Marc1 and </t>
  </si>
  <si>
    <t>Accession Number: 60768930; Authors: Ortega-Argueta, Alejandro Email Address: alejandro.ortega@inecol.edu.mx;Â Baxter, Greg 1;Â Hockings, Marc 1; Affiliations:  1: University of Queensland (UQ), School of Geography, Planning &amp; Environmental Management, St. Lucia, Queensland 4067, Australia; Subject: Wildlife recovery -- Law &amp; legislation; Subject: Environmental regulations; Subject: Environmental management -- Australia; Subject: Conservation of natural resources -- Research; Subject: Ecology -- Research; Subject: Australia; Number of Pages: 7p; Record Type: Article | RAYYAN-INCLUSION: {"Matthew"=&gt;"Excluded"}</t>
  </si>
  <si>
    <t>rayyan-153485131</t>
  </si>
  <si>
    <t>Conservation genomics from a practitioner lens: Evaluating the research-implementation gap in a managed freshwater fishery</t>
  </si>
  <si>
    <t>Kadykalo, A.N. and Cooke, S.J. and Young, N.</t>
  </si>
  <si>
    <t>https://www.scopus.com/inward/record.uri?eid=2-s2.0-85075864072&amp;doi=10.1016%2fj.biocon.2019.108350&amp;partnerID=40&amp;md5=5184fcf4565d111db1161e0e360e7adf</t>
  </si>
  <si>
    <t>&lt;p&gt;Export Date: 27 January 2025; Cited By: 19&lt;/p&gt; | RAYYAN-INCLUSION: {"Philip"=&gt;"Included", "Aidan"=&gt;"Included"}</t>
  </si>
  <si>
    <t>10.1016/j.biocon.2019.108350</t>
  </si>
  <si>
    <t>British Columbia;Canada;conservation genetics;conservation management;decision making;Fisheries management;fishery management;freshwater ecosystem;genetic analysis;Genetics;genomics;government relations;knowledge based system;Knowledge exchange;Knowledge mobilization;Knowledge-action gap;nongovernmental organization;Oncorhynchus mykiss;questionnaire survey;Rainbow trout;salmonid;stakeholder;wildlife management</t>
  </si>
  <si>
    <t>rayyan-153485134</t>
  </si>
  <si>
    <t>Use of food web knowledge in environmental conservation and management of living resources in the Baltic Sea</t>
  </si>
  <si>
    <t>ICES Journal of Marine Science</t>
  </si>
  <si>
    <t>2645-2663</t>
  </si>
  <si>
    <t>Eero, M. and Dierking, J. and Humborg, C. and Undeman, E. and MacKenzie, B.R. and Ojaveer, H. and Salo, T. and KÃ¶ster, F.W.</t>
  </si>
  <si>
    <t>https://www.scopus.com/inward/record.uri?eid=2-s2.0-85119517201&amp;doi=10.1093%2ficesjms%2ffsab145&amp;partnerID=40&amp;md5=89e08ef88f8eb6c0e1b7b66d0989389a</t>
  </si>
  <si>
    <t>&lt;p&gt;Export Date: 27 January 2025; Cited By: 8&lt;/p&gt; | RAYYAN-INCLUSION: {"Alec"=&gt;"Excluded"}</t>
  </si>
  <si>
    <t>10.1093/icesjms/fsab145</t>
  </si>
  <si>
    <t>Atlantic Ocean;Baltic Sea;chemical contamination;complexity;conservation management;ecosystem approach;ecosystem dynamics;envrionmental conservation;eutrophication;fisheries management;food web;living resources;Matthiola;non-indigenous species;resource management</t>
  </si>
  <si>
    <t>rayyan-153485138</t>
  </si>
  <si>
    <t>Best practices for producing actionable knowledge to inform fisheries management and conservation</t>
  </si>
  <si>
    <t>Environmental Biology of Fishes</t>
  </si>
  <si>
    <t>Arseneault-Deraps, C. and Davis, R. and MacLeod, M.E.C. and Wilson, E. and Aubrey, B. and Goodenough, A. and Madden, J.C. and Adeli, K.A. and Cvitanovic, C. and Young, N. and Hinderer, J.M. and Nyboer, E.A. and Nguyen, V.M. and Piczak, M.L. and Cooke, S.J.</t>
  </si>
  <si>
    <t>https://www.scopus.com/inward/record.uri?eid=2-s2.0-85203546594&amp;doi=10.1007%2fs10641-024-01591-6&amp;partnerID=40&amp;md5=aa8ecd3d6f8a1cc443d1e7c908060a9d</t>
  </si>
  <si>
    <t>&lt;p&gt;Export Date: 27 January 2025; Cited By: 0&lt;/p&gt; | RAYYAN-INCLUSION: {"Carlos"=&gt;"Excluded"}</t>
  </si>
  <si>
    <t>10.1007/s10641-024-01591-6</t>
  </si>
  <si>
    <t>Capacity building;Interdisciplinary research;Knowledge co-production;Knowledge exchange;Science communication;Stakeholder engagement</t>
  </si>
  <si>
    <t>rayyan-153485139</t>
  </si>
  <si>
    <t>Conflict resolution in coastal resource management: Comparative analysis of case studies from four European countries</t>
  </si>
  <si>
    <t>Ocean and Coastal Management</t>
  </si>
  <si>
    <t>109-122</t>
  </si>
  <si>
    <t>Stepanova, O.</t>
  </si>
  <si>
    <t>https://www.scopus.com/inward/record.uri?eid=2-s2.0-84914171560&amp;doi=10.1016%2fj.ocecoaman.2014.10.017&amp;partnerID=40&amp;md5=c384e8dd551cabbb5ae5965013045743</t>
  </si>
  <si>
    <t>&lt;p&gt;Export Date: 27 January 2025; Cited By: 42&lt;/p&gt; | RAYYAN-INCLUSION: {"Alice"=&gt;"Excluded"}</t>
  </si>
  <si>
    <t>10.1016/j.ocecoaman.2014.10.017</t>
  </si>
  <si>
    <t>Belgium;Coastal conflicts;Coastal engineering;Coastal management;coastal zone management;Coastal zones;comparative study;conflict management;Conflict resolution;Conflict Resolution;Integration;Italy;knowledge;Knowledge integration;natural resource;Natural resources;Natural resources management;power relations;Power relations;Resource allocation;stakeholder;sustainability;Sweden;United Kingdom</t>
  </si>
  <si>
    <t>rayyan-153485140</t>
  </si>
  <si>
    <t>Knowledge co-production: A pathway to effective fisheries management, conservation, and governance</t>
  </si>
  <si>
    <t>Fisheries</t>
  </si>
  <si>
    <t>89-97</t>
  </si>
  <si>
    <t>Cooke, S.J. and Nguyen, V.M. and Chapman, J.M. and Reid, A.J. and Landsman, S.J. and Young, N. and Hinch, S.G. and Schott, S. and Mandrak, N.E. and Semeniuk, C.A.D.</t>
  </si>
  <si>
    <t>https://www.scopus.com/inward/record.uri?eid=2-s2.0-85091084696&amp;doi=10.1002%2ffsh.10512&amp;partnerID=40&amp;md5=3b9d1ec02d7cfe8f2a6d97476bf300b3</t>
  </si>
  <si>
    <t>&lt;p&gt;Export Date: 27 January 2025; Cited By: 96&lt;/p&gt; | RAYYAN-INCLUSION: {"Carlos"=&gt;"Excluded"}</t>
  </si>
  <si>
    <t>10.1002/fsh.10512</t>
  </si>
  <si>
    <t>rayyan-153485142</t>
  </si>
  <si>
    <t>The big ecological questions inhibiting effective environmental management in Australia</t>
  </si>
  <si>
    <t>Austral Ecology</t>
  </si>
  <si>
    <t>Morton, S.R. and Hoegh-Guldberg, O. and Lindenmayer, D.B. and Olson, M.H. and Hughes, L. and McCulloch, M.T. and McIntyre, S. and Nix, H.A. and Prober, S.M. and Saunders, D.A. and Andersen, A.N. and Burgman, M.A. and Lefroy, E.C. and Lonsdale, W.M. and Lowe, I. and McMichael, A.J. and Parslow, J.S. and Steffen, W. and Williams, J.E. and Woinarski, J.C.Z.</t>
  </si>
  <si>
    <t>https://www.scopus.com/inward/record.uri?eid=2-s2.0-58249106844&amp;doi=10.1111%2fj.1442-9993.2008.01938.x&amp;partnerID=40&amp;md5=b4f5f2e39bbedba7709045b858df6b86</t>
  </si>
  <si>
    <t>&lt;p&gt;Export Date: 27 January 2025; Cited By: 62&lt;/p&gt; | RAYYAN-INCLUSION: {"Philip"=&gt;"Excluded", "Elina"=&gt;"Included"}</t>
  </si>
  <si>
    <t>10.1111/j.1442-9993.2008.01938.x</t>
  </si>
  <si>
    <t>Australasia;Australia;Australian ecology;climate change;ecology;environmental management;Environmental management;inhibition;knowledge;Knowledge gaps;policy development;policy making</t>
  </si>
  <si>
    <t>rayyan-153485145</t>
  </si>
  <si>
    <t>Languages Are Still a Major Barrier to Global Science</t>
  </si>
  <si>
    <t>PLoS Biology</t>
  </si>
  <si>
    <t>Amano, T. and GonzÃ¡lez-Varo, J.P. and Sutherland, W.J.</t>
  </si>
  <si>
    <t>https://www.scopus.com/inward/record.uri?eid=2-s2.0-85015187677&amp;doi=10.1371%2fjournal.pbio.2000933&amp;partnerID=40&amp;md5=126660e03c2d7e2395bce75843f6f40f</t>
  </si>
  <si>
    <t>&lt;p&gt;Export Date: 27 January 2025; Cited By: 324&lt;/p&gt; | RAYYAN-INCLUSION: {"Philip"=&gt;"Excluded", "Alice"=&gt;"Included"}</t>
  </si>
  <si>
    <t>10.1371/journal.pbio.2000933</t>
  </si>
  <si>
    <t>article;communication barrier;Communication Barriers;conservation biology;human;human experiment;Humans;language;Language;physician;science;Science;search engine;Spain;systematic review</t>
  </si>
  <si>
    <t>rayyan-153485153</t>
  </si>
  <si>
    <t>Elicitation and use of expert knowledge in landscape ecological applications: A synthesis</t>
  </si>
  <si>
    <t>Expert Knowledge and its Application in Landscape Ecology</t>
  </si>
  <si>
    <t>279-299</t>
  </si>
  <si>
    <t>Johnson, C.J. and Drew, C.A. and Perera, A.H.</t>
  </si>
  <si>
    <t>https://www.scopus.com/inward/record.uri?eid=2-s2.0-84929287546&amp;doi=10.1007%2f978-1-4614-1034-8_14&amp;partnerID=40&amp;md5=3b928e2f1342204359a5add1f1bf0bb4</t>
  </si>
  <si>
    <t>&lt;p&gt;Export Date: 27 January 2025; Cited By: 3&lt;/p&gt; | RAYYAN-INCLUSION: {"Alice"=&gt;"Excluded"}</t>
  </si>
  <si>
    <t>rayyan-153485154</t>
  </si>
  <si>
    <t>The use of scientific knowledge in the decision making process of environmental public policies in Brazil</t>
  </si>
  <si>
    <t>Journal of Science Communication</t>
  </si>
  <si>
    <t>Carneiro, M.J. and da-Silva-Rosa, T.</t>
  </si>
  <si>
    <t>https://www.scopus.com/inward/record.uri?eid=2-s2.0-79954457079&amp;doi=10.22323%2f2.10010203&amp;partnerID=40&amp;md5=2cdde3da7f5085726c095a3195f16d1b</t>
  </si>
  <si>
    <t>&lt;p&gt;Export Date: 27 January 2025; Cited By: 14&lt;/p&gt; | RAYYAN-INCLUSION: {"Tabitha"=&gt;"Included", "Elina"=&gt;"Included"}</t>
  </si>
  <si>
    <t>10.22323/2.10010203</t>
  </si>
  <si>
    <t>rayyan-153485159</t>
  </si>
  <si>
    <t>Research Prioritization and the Potential Pitfall of Path Dependencies in Coral Reef Science</t>
  </si>
  <si>
    <t>Minerva</t>
  </si>
  <si>
    <t>213-235</t>
  </si>
  <si>
    <t>Neff, M.W.</t>
  </si>
  <si>
    <t>https://www.scopus.com/inward/record.uri?eid=2-s2.0-84901638476&amp;doi=10.1007%2fs11024-014-9250-5&amp;partnerID=40&amp;md5=3456b7dacd95f42267f66e28e1bf41bf</t>
  </si>
  <si>
    <t>&lt;p&gt;Export Date: 27 January 2025; Cited By: 15&lt;/p&gt; | RAYYAN-INCLUSION: {"Carlos"=&gt;"Excluded"}</t>
  </si>
  <si>
    <t>10.1007/s11024-014-9250-5</t>
  </si>
  <si>
    <t>Conservation biology;Coral reefs;Problem choice;Q method;Research policy;Research priorities</t>
  </si>
  <si>
    <t>rayyan-153485161</t>
  </si>
  <si>
    <t>The knowledge base for fisheries management: The command and control management system of the European Union</t>
  </si>
  <si>
    <t>Revista Galega de Economia</t>
  </si>
  <si>
    <t>35-54</t>
  </si>
  <si>
    <t>Azabache, M.A. and Maza, A.M. and Izeta, L.M.</t>
  </si>
  <si>
    <t>https://www.scopus.com/inward/record.uri?eid=2-s2.0-33746354605&amp;partnerID=40&amp;md5=4be7f915d41dcd2f3bf031b47ceb65eb</t>
  </si>
  <si>
    <t>&lt;p&gt;Export Date: 27 January 2025; Cited By: 0&lt;/p&gt; | RAYYAN-INCLUSION: {"Philip"=&gt;"Excluded", "Prishnee"=&gt;"Excluded"}</t>
  </si>
  <si>
    <t>Command and control regimes;Common Fisheries Policy;Eurasia;Europe;European Union;fishery management;fishery policy;fishing industry;maximum sustainable yield;Multidisciplinary knowledge;Regional Advisory Councils-RACs</t>
  </si>
  <si>
    <t>rayyan-153485164</t>
  </si>
  <si>
    <t>Lessons learned in knowledge co-production for climate-smart decision-making</t>
  </si>
  <si>
    <t>178-187</t>
  </si>
  <si>
    <t>Rosemartin, A. and Crimmins, T.M. and Gerst, K.L. and Posthumus, E.E. and Ramirez, A.R. and Wallace, C.S. and Morelli, T.L.</t>
  </si>
  <si>
    <t>https://www.scopus.com/inward/record.uri?eid=2-s2.0-85147252267&amp;doi=10.1016%2fj.envsci.2023.01.010&amp;partnerID=40&amp;md5=edcf478f0d252df32ba9d0d96306da75</t>
  </si>
  <si>
    <t>&lt;p&gt;Export Date: 27 January 2025; Cited By: 9&lt;/p&gt; | RAYYAN-INCLUSION: {"Iris"=&gt;"Excluded"}</t>
  </si>
  <si>
    <t>10.1016/j.envsci.2023.01.010</t>
  </si>
  <si>
    <t>article;attention;climate change;Climate Change;decision making;empowerment;human;knowledge based system;Knowledge Co-production;natural resource;Natural Resource Management;phenology;Phenology;refuge;Refugia;refugium;resource management</t>
  </si>
  <si>
    <t>rayyan-153485165</t>
  </si>
  <si>
    <t>On the theory-practice gap in the environmental realm: perspectives from and for diverse environmental professionals</t>
  </si>
  <si>
    <t>Socio-Ecological Practice Research</t>
  </si>
  <si>
    <t>243-255</t>
  </si>
  <si>
    <t>Cooke, S.J. and Jeanson, A.L. and Bishop, I. and Bryan, B.A. and Chen, C. and Cvitanovic, C. and Fen, Y. and Forester, J. and FÃ¼rst, C. and Hu, J. and La Rosa, D. and Meurk, C. and Nguyen, V.M. and Paolisso, M. and Qi, Y. and Chun, F.K.S. and Szetey, K. and Wang, X. and Wang, Y. and Archibald, C.L. and Young, N.</t>
  </si>
  <si>
    <t>https://www.scopus.com/inward/record.uri?eid=2-s2.0-85115397398&amp;doi=10.1007%2fs42532-021-00089-0&amp;partnerID=40&amp;md5=9cebf6ce72093caee74c35937a3b618e</t>
  </si>
  <si>
    <t>&lt;p&gt;Export Date: 27 January 2025; Cited By: 31&lt;/p&gt; | RAYYAN-INCLUSION: {"Philip"=&gt;"Excluded", "Alec"=&gt;"Included"}</t>
  </si>
  <si>
    <t>10.1007/s42532-021-00089-0</t>
  </si>
  <si>
    <t>Co-production;curriculum;decision making;education;Environmental practice;environmental values;knowledge;Knowledge mobilization;Knowledge-action gap;organization;Science policy</t>
  </si>
  <si>
    <t>rayyan-153485175</t>
  </si>
  <si>
    <t>Knowledge usersâ€™ perspectives and advice on how to improve knowledge exchange and mobilization in the case of a co-managed fishery</t>
  </si>
  <si>
    <t>170-178</t>
  </si>
  <si>
    <t>Young, N. and Nguyen, V.M. and Corriveau, M. and Cooke, S.J. and Hinch, S.G.</t>
  </si>
  <si>
    <t>https://www.scopus.com/inward/record.uri?eid=2-s2.0-84988531054&amp;doi=10.1016%2fj.envsci.2016.09.002&amp;partnerID=40&amp;md5=86cdb2e7b3b297a09a4b1c681b4fd281</t>
  </si>
  <si>
    <t>&lt;p&gt;Export Date: 27 January 2025; Cited By: 66&lt;/p&gt; | RAYYAN-INCLUSION: {"Philip"=&gt;"Included"}</t>
  </si>
  <si>
    <t>10.1016/j.envsci.2016.09.002</t>
  </si>
  <si>
    <t>Article;climate change;Co-management;Co-production;consultation;education;environmental management;environmental protection;Fisheries management;fishery;information seeking;knowledge;knowledge exchange;Knowledge exchange;knowledge mobilization;Knowledge mobilization;Pacific salmon;policy;priority journal;quantitative analysis;salmonine;spawning;species conservation</t>
  </si>
  <si>
    <t>rayyan-153485180</t>
  </si>
  <si>
    <t>Five principles for the practice of knowledge exchange in environmental management</t>
  </si>
  <si>
    <t>337-345</t>
  </si>
  <si>
    <t>Reed, M.S. and Stringer, L.C. and Fazey, I. and Evely, A.C. and Kruijsen, J.H.J.</t>
  </si>
  <si>
    <t>https://www.scopus.com/inward/record.uri?eid=2-s2.0-84908670844&amp;doi=10.1016%2fj.jenvman.2014.07.021&amp;partnerID=40&amp;md5=5c7d78a0869b7158197df6dee28b5d11</t>
  </si>
  <si>
    <t>&lt;p&gt;Export Date: 27 January 2025; Cited By: 310&lt;/p&gt; | RAYYAN-INCLUSION: {"Philip"=&gt;"Included", "Nibedita"=&gt;"Included"}</t>
  </si>
  <si>
    <t>10.1016/j.jenvman.2014.07.021</t>
  </si>
  <si>
    <t>Article;Binary alloys;Catchments;Communication;Conservation of Natural Resources;decision making;Decision making;Decision Making;Effective practices;environmental education;environmental management;Environmental management;environmental monitoring;environmental planning;environmental protection;geographical knowledge;human;Humans;interpersonal communication;Knowledge exchange;knowledge management;Knowledge management;Knowledge transfer;Knowledge translation;Management policy;Management practises;Management research;Potassium alloys;project design;research;Research;Research policies;research program;stakeholder;Stakeholder engagement;Stakeholder participation;United Kingdom;Uranium alloys</t>
  </si>
  <si>
    <t>rayyan-153485192</t>
  </si>
  <si>
    <t>Science and policy-making in Brazil: Some strategies for dialogue</t>
  </si>
  <si>
    <t>C03</t>
  </si>
  <si>
    <t>Da Silva Rosa, T. and Teixeira Carneiro, M.J.</t>
  </si>
  <si>
    <t>https://www.scopus.com/inward/record.uri?eid=2-s2.0-84873967096&amp;doi=10.22323%2f2.11030303&amp;partnerID=40&amp;md5=f43d03908c71d41eeb569f1a83a87666</t>
  </si>
  <si>
    <t>&lt;p&gt;Export Date: 27 January 2025; Cited By: 0&lt;/p&gt; | RAYYAN-INCLUSION: {"Matthew"=&gt;"Excluded"}</t>
  </si>
  <si>
    <t>10.22323/2.11030303</t>
  </si>
  <si>
    <t>rayyan-153485200</t>
  </si>
  <si>
    <t>Identifying challenges to building an evidence base for restoration practice</t>
  </si>
  <si>
    <t>Sustainability (Switzerland)</t>
  </si>
  <si>
    <t>15871-15881</t>
  </si>
  <si>
    <t>Ntshotsho, P. and Esler, K.J. and Reyers, B.</t>
  </si>
  <si>
    <t>https://www.scopus.com/inward/record.uri?eid=2-s2.0-84952360568&amp;doi=10.3390%2fsu71215788&amp;partnerID=40&amp;md5=7e768ffe3d9c20ba5b9c2908ffbdef19</t>
  </si>
  <si>
    <t>&lt;p&gt;Export Date: 27 January 2025; Cited By: 12&lt;/p&gt; | RAYYAN-INCLUSION: {"Matthew"=&gt;"Excluded", "Philip"=&gt;"Excluded", "Prishnee"=&gt;"Maybe"}</t>
  </si>
  <si>
    <t>10.3390/su71215788</t>
  </si>
  <si>
    <t>Baseline information;decision making;Evidence-based practice;Impact monitoring;monitoring;perception;Practitioner perceptions;Resource limitations;restoration ecology;South Africa;sustainability;sustainable development</t>
  </si>
  <si>
    <t>rayyan-153485208</t>
  </si>
  <si>
    <t>Advancing Knowledge for Use in Coastal and Estuarine Management: Competitive Research in the National Estuarine Research Reserve System</t>
  </si>
  <si>
    <t>337-346</t>
  </si>
  <si>
    <t>Trueblood, D. and AlmazÃ¡n-Casali, S. and Arnott, J. and Brass, M. and Lemos, M.C. and Matso, K. and Read, J. and Vaccaro, L. and Wondolleck, J.</t>
  </si>
  <si>
    <t>https://www.scopus.com/inward/record.uri?eid=2-s2.0-85064524525&amp;doi=10.1080%2f08920753.2019.1598221&amp;partnerID=40&amp;md5=5393a657e47c66f7586542f73c11c0c7</t>
  </si>
  <si>
    <t>&lt;p&gt;Export Date: 27 January 2025; Cited By: 16&lt;/p&gt; | RAYYAN-INCLUSION: {"Tabitha"=&gt;"Excluded"}</t>
  </si>
  <si>
    <t>10.1080/08920753.2019.1598221</t>
  </si>
  <si>
    <t>co-production;Co-production;coastal zone management;collaborative science;environmental change;Environmental technology;estuaries;Estuaries;estuarine environment;Finance;knowledge;Knowledge management;knowledge transfer;Knowledge transfer;knowledge use;Knowledge use;Natural resources management;nature conservation;NERRS;Problem solving;research;research application;Research applications;resource management;Science funding</t>
  </si>
  <si>
    <t>rayyan-153485211</t>
  </si>
  <si>
    <t>What is â€œusableâ€ knowledge? Perceived barriers for integrating new knowledge into management of an iconic Canadian fishery</t>
  </si>
  <si>
    <t>Canadian Journal of Fisheries and Aquatic Sciences</t>
  </si>
  <si>
    <t>463-474</t>
  </si>
  <si>
    <t>Nguyen, V.M. and Young, N. and Corriveau, M. and Hinch, S.G. and Cooke, S.J.</t>
  </si>
  <si>
    <t>https://www.scopus.com/inward/record.uri?eid=2-s2.0-85062193612&amp;doi=10.1139%2fcjfas-2017-0305&amp;partnerID=40&amp;md5=8d13b6ef6959eda2e1b5909c1c4c8318</t>
  </si>
  <si>
    <t>&lt;p&gt;Export Date: 27 January 2025; Cited By: 34&lt;/p&gt; | RAYYAN-INCLUSION: {"Sarah"=&gt;"Included"}</t>
  </si>
  <si>
    <t>10.1139/cjfas-2017-0305</t>
  </si>
  <si>
    <t>decision making;fishery;fishery management;Oncorhynchus;perception;salmonid fishery;stakeholder</t>
  </si>
  <si>
    <t>rayyan-153485212</t>
  </si>
  <si>
    <t>How do potential knowledge users evaluate new claims about a contested resource? Problems of power and politics in knowledge exchange and mobilization</t>
  </si>
  <si>
    <t>380-388</t>
  </si>
  <si>
    <t>Young, N. and Corriveau, M. and Nguyen, V.M. and Cooke, S.J. and Hinch, S.G.</t>
  </si>
  <si>
    <t>https://www.scopus.com/inward/record.uri?eid=2-s2.0-84993982843&amp;doi=10.1016%2fj.jenvman.2016.10.006&amp;partnerID=40&amp;md5=c883225a18f0ba70071a300145217bee</t>
  </si>
  <si>
    <t>&lt;p&gt;Export Date: 27 January 2025; Cited By: 57&lt;/p&gt; | RAYYAN-INCLUSION: {"Isobel"=&gt;"Included"}</t>
  </si>
  <si>
    <t>10.1016/j.jenvman.2016.10.006</t>
  </si>
  <si>
    <t>animal;Animals;British Columbia;Canada;Co-management;comanagement;Communication;decision making;employee;expectation;Experiential knowledge;Fisheries;fishery;Fraser River;government;Government employees;human;human experiment;Humans;information dissemination;Information Dissemination;interpersonal communication;interview;knowledge;Knowledge;Knowledge exchange;Knowledge management;Knowledge mobilization;Knowledge perception;Mobilisation;motivation;organization;Organizations;perception;Perception;policy development;politics;Politics;Potential users;Power;procedures;public opinion;Public Opinion;public sector;questionnaire survey;river;Rivers;Salmon;salmonid fishery;salmonine;scientist;social characteristics;sociology;Sociology;Sociology of science;stakeholder;theoretical model</t>
  </si>
  <si>
    <t>rayyan-153485232</t>
  </si>
  <si>
    <t>A guide to eliciting and using expert knowledge in Bayesian ecological models</t>
  </si>
  <si>
    <t>Ecology Letters</t>
  </si>
  <si>
    <t>900-914</t>
  </si>
  <si>
    <t>Kuhnert, P.M. and Martin, T.G. and Griffiths, S.P.</t>
  </si>
  <si>
    <t>https://www.scopus.com/inward/record.uri?eid=2-s2.0-77954643874&amp;doi=10.1111%2fj.1461-0248.2010.01477.x&amp;partnerID=40&amp;md5=06e9b4d41851c672229bc28c92397124</t>
  </si>
  <si>
    <t>&lt;p&gt;Export Date: 27 January 2025; Cited By: 348&lt;/p&gt; | RAYYAN-INCLUSION: {"Alec"=&gt;"Excluded"}</t>
  </si>
  <si>
    <t>10.1111/j.1461-0248.2010.01477.x</t>
  </si>
  <si>
    <t>Bayes theorem;Bayes Theorem;Bayesian analysis;Bayesian models;Bias;conservation management;cost-benefit analysis;database;decision making;Decision-making;ecological modeling;ecology;Ecology;empirical analysis;Expert judgement;Expert opinion;expert system;Models, Theoretical;natural resource;Prior information;review;theoretical model</t>
  </si>
  <si>
    <t>rayyan-153485240</t>
  </si>
  <si>
    <t>A conceptual framework for understanding the perspectives on the causes of the scienceâ€“practice gap in ecology and conservation</t>
  </si>
  <si>
    <t>Biological Reviews</t>
  </si>
  <si>
    <t>1032-1055</t>
  </si>
  <si>
    <t>Bertuol-Garcia, D. and Morsello, C. and N. El-Hani, C. and Pardini, R.</t>
  </si>
  <si>
    <t>https://www.scopus.com/inward/record.uri?eid=2-s2.0-85045090025&amp;doi=10.1111%2fbrv.12385&amp;partnerID=40&amp;md5=58f3ca1721f7e402c12c89aa215689dc</t>
  </si>
  <si>
    <t>&lt;p&gt;Export Date: 27 January 2025; Cited By: 103&lt;/p&gt; | RAYYAN-INCLUSION: {"Carlos"=&gt;"Excluded"}</t>
  </si>
  <si>
    <t>10.1111/brv.12385</t>
  </si>
  <si>
    <t>bounded rationality;communities of practice;Conservation of Natural Resources;decision making;Decision Making;ecology;Ecology;environmental management;environmental policy;environmental protection;human;Humans;knowingâ€“doing gap;management;Policy Making;policy-making;practice gap;procedures;Professional Practice Gaps;public policy;Public Policy;researchâ€“implementation gap;science;science communication;technology and society;transdisciplinarity</t>
  </si>
  <si>
    <t>rayyan-153485241</t>
  </si>
  <si>
    <t>Accumulation of New Knowledge and Advances in Fishery Management: Two Complementary Processes?</t>
  </si>
  <si>
    <t>Advances in Fisheries Science: 50 years on from Beverton and Holt</t>
  </si>
  <si>
    <t>229-254</t>
  </si>
  <si>
    <t>Apostolaki, P. and Pilling, G.M. and Armstrong, M.J. and Metcalfe, J.D. and Forster, R.</t>
  </si>
  <si>
    <t>https://www.scopus.com/inward/record.uri?eid=2-s2.0-84889491231&amp;doi=10.1002%2f9781444302653.ch10&amp;partnerID=40&amp;md5=7682567b2c3032afc912048632b9467d</t>
  </si>
  <si>
    <t>&lt;p&gt;Export Date: 27 January 2025; Cited By: 1&lt;/p&gt; | RAYYAN-INCLUSION: {"Philip"=&gt;"Excluded", "Nibedita"=&gt;"Excluded"}</t>
  </si>
  <si>
    <t>Data use and simulation modelling;Information triggering quality control or resistance to change;Knowledge for developing biological basis for fisheries management;Latest knowledge and technology;Latest knowledge and technology at management decision level;New knowledge and advances in fishery management;Technological advancements and new knowledge;Trade-offs associated with use of new knowledge;Uncertainty in new knowledge and time constraints at scientific level</t>
  </si>
  <si>
    <t>rayyan-153485264</t>
  </si>
  <si>
    <t>Knowledge exchange: A review and research agenda for environmental management</t>
  </si>
  <si>
    <t>Environmental Conservation</t>
  </si>
  <si>
    <t>19-36</t>
  </si>
  <si>
    <t>Fazey, I. and Evely, A.C. and Reed, M.S. and Stringer, L.C. and Kruijsen, J. and White, P.C.L. and Newsham, A. and Jin, L. and Cortazzi, M. and Phillipson, J. and Blackstock, K. and Entwistle, N. and Sheate, W. and Armstrong, F. and Blackmore, C. and Fazey, J. and Ingram, J. and Gregson, J. and Lowe, P. and Morton, S. and Trevitt, C.</t>
  </si>
  <si>
    <t>https://www.scopus.com/inward/record.uri?eid=2-s2.0-84873327282&amp;doi=10.1017%2fS037689291200029X&amp;partnerID=40&amp;md5=a69bf770252952c056a8d44a770bd5fe</t>
  </si>
  <si>
    <t>&lt;p&gt;Export Date: 27 January 2025; Cited By: 258&lt;/p&gt; | RAYYAN-INCLUSION: {"Philip"=&gt;"Excluded"}</t>
  </si>
  <si>
    <t>10.1017/S037689291200029X</t>
  </si>
  <si>
    <t>adaptive comanagement;adaptive management;Co-management;comanagement;conservation management;decision making;decision-making;environmental management;Environmental management;evidence-based conservation;integrated approach;knowledge;knowledge exchange;Knowledge exchange;knowledge management;Knowledge management;knowledge transfer;Knowledge transfer;learning;literature review;participation;participatory approach;Research;research impact;research work;social learning;Social learning;sustainability</t>
  </si>
  <si>
    <t>rayyan-153485274</t>
  </si>
  <si>
    <t>Knowledge exchange at the interface of marine science and policy: A review of progress and research needs</t>
  </si>
  <si>
    <t>Karcher, D.B. and Tuohy, P. and Cooke, S.J. and Cvitanovic, C.</t>
  </si>
  <si>
    <t>https://www.scopus.com/inward/record.uri?eid=2-s2.0-85189630638&amp;doi=10.1016%2fj.ocecoaman.2024.107137&amp;partnerID=40&amp;md5=4485b108629095a65060a174712011ca</t>
  </si>
  <si>
    <t>&lt;p&gt;Export Date: 27 January 2025; Cited By: 6&lt;/p&gt; | RAYYAN-INCLUSION: {"Sarah"=&gt;"Excluded"}</t>
  </si>
  <si>
    <t>10.1016/j.ocecoaman.2024.107137</t>
  </si>
  <si>
    <t>knowledge;Knowledge co productions;Knowledge exchange;Knowledge management;literature review;marine policy;Marine policy;Marine research;Marine science;North America;ocean;Production organizations;Research communities;Research needs;research work;Science policies;Systematic Review</t>
  </si>
  <si>
    <t>rayyan-153485281</t>
  </si>
  <si>
    <t>Knowledge coproduction on the impact of decisions for waterbird habitat in a changing climate</t>
  </si>
  <si>
    <t>Conservation Biology</t>
  </si>
  <si>
    <t>Byrd, K.B. and Matchett, E. and Mengelt, C. and Wilson, T.S. and DiPietro, D. and Moritsch, M. and Conlisk, E. and Veloz, S. and Casazza, M.L. and Reiter, M.E.</t>
  </si>
  <si>
    <t>https://www.scopus.com/inward/record.uri?eid=2-s2.0-85161396292&amp;doi=10.1111%2fcobi.14089&amp;partnerID=40&amp;md5=bc2b783e0328b0344fb1e23a9f79f728</t>
  </si>
  <si>
    <t>&lt;p&gt;Export Date: 27 January 2025; Cited By: 2&lt;/p&gt; | RAYYAN-INCLUSION: {"Aidan"=&gt;"Excluded"}</t>
  </si>
  <si>
    <t>10.1111/cobi.14089</t>
  </si>
  <si>
    <t>adaptaciÃ³n climÃ¡tica;agricultura;agriculture;apoyo a las decisiones;California;cambios en el uso de suelo;Central Valley [California];climate adaptation;climate change;Climate Change;Conservation of Natural Resources;decision support;decision support system;ecosystem;Ecosystem;ecosystem resilience;environmental protection;human;Humans;land use change;local adaptation;modelado participativo;participatory modeling;planeaciÃ³n de escenarios;restauraciÃ³n de humedales;scenario planning;seabird;season;Seasons;stakeholder;suministro de agua;United States;water supply;waterfowl;wetland;wetland restoration;Wetlands</t>
  </si>
  <si>
    <t>rayyan-153485287</t>
  </si>
  <si>
    <t>Heterogeneous perceptions of social-ecological change among small-scale fishermen in the central Gulf of California: Implications for adaptive response</t>
  </si>
  <si>
    <t>Frawley, T.H. and Crowder, L.B. and Broad, K.</t>
  </si>
  <si>
    <t>https://www.scopus.com/inward/record.uri?eid=2-s2.0-85065413446&amp;doi=10.3389%2ffmars.2019.00078&amp;partnerID=40&amp;md5=d5fad628247d46f6e0659b1b843f071c</t>
  </si>
  <si>
    <t>&lt;p&gt;Export Date: 27 January 2025; Cited By: 31&lt;/p&gt; | RAYYAN-INCLUSION: {"Carlos"=&gt;"Excluded", "Elina"=&gt;"Excluded"}</t>
  </si>
  <si>
    <t>10.3389/fmars.2019.00078</t>
  </si>
  <si>
    <t>Adaptation;Cultural models;Gulf of California;Local knowledge;Small-scale fisheries;Social-ecological systems</t>
  </si>
  <si>
    <t>rayyan-153485289</t>
  </si>
  <si>
    <t>Integrative conservation science: Conservation knowledge must be used to guide policies</t>
  </si>
  <si>
    <t>Integrative Conservation</t>
  </si>
  <si>
    <t>69-72</t>
  </si>
  <si>
    <t>BorzÃ©e, A. and Button, S.</t>
  </si>
  <si>
    <t>https://www.scopus.com/inward/record.uri?eid=2-s2.0-85201074304&amp;doi=10.1002%2finc3.22&amp;partnerID=40&amp;md5=e811ee32b323d7746abcb17fdd4f2f86</t>
  </si>
  <si>
    <t>&lt;p&gt;Export Date: 27 January 2025; Cited By: 1&lt;/p&gt; | RAYYAN-INCLUSION: {"Alice"=&gt;"Excluded"}</t>
  </si>
  <si>
    <t>10.1002/inc3.22</t>
  </si>
  <si>
    <t>applied research;conservation;policy</t>
  </si>
  <si>
    <t>rayyan-153485295</t>
  </si>
  <si>
    <t>The role of western-based scientific, Indigenous and local knowledge in wildlife management and conservation</t>
  </si>
  <si>
    <t>610-626</t>
  </si>
  <si>
    <t>https://www.scopus.com/inward/record.uri?eid=2-s2.0-85107381468&amp;doi=10.1002%2fpan3.10194&amp;partnerID=40&amp;md5=e710b7b6d0aee4f6bc79241c9953307a</t>
  </si>
  <si>
    <t>&lt;p&gt;Export Date: 27 January 2025; Cited By: 49&lt;/p&gt; | RAYYAN-INCLUSION: {"Philip"=&gt;"Included", "Nibedita"=&gt;"Included"}</t>
  </si>
  <si>
    <t>10.1002/pan3.10194</t>
  </si>
  <si>
    <t>co-assessment;evidence complacency;evidence-based conservation;fish and wildlife management;Indigenous and local knowledge;knowledge exchange;knowledge-action gap;natural resource management</t>
  </si>
  <si>
    <t>rayyan-153485299</t>
  </si>
  <si>
    <t>Navigating the stormy seas of building â€˜trustâ€™ as a boundary organisation connecting marine science with policy and management</t>
  </si>
  <si>
    <t>Cvitanovic, C. and Shellock, R.J. and Karcher, D.B. and Tuohy, P. and Mackay, M. and van Putten, E.I. and Ballesteros, M. and Dickey-Collas, M.</t>
  </si>
  <si>
    <t>https://www.scopus.com/inward/record.uri?eid=2-s2.0-85179585604&amp;doi=10.1016%2fj.ocecoaman.2023.106952&amp;partnerID=40&amp;md5=48008abd1178d33f77f3adcd4ee95b6c</t>
  </si>
  <si>
    <t>&lt;p&gt;Export Date: 27 January 2025; Cited By: 8&lt;/p&gt; | RAYYAN-INCLUSION: {"Carlos"=&gt;"Included"}</t>
  </si>
  <si>
    <t>10.1016/j.ocecoaman.2023.106952</t>
  </si>
  <si>
    <t>Boundary organisation;Boundary organizations;Critical component;Decision makers;Decision making;empirical analysis;knowledge;Knowledge exchange;Knowledge management;Marine management;marine policy;Marine policy;Marine science;Navigation;organizational framework;Policy advice;qualitative analysis;Science policies;Science-policy;Storms;Trust</t>
  </si>
  <si>
    <t>rayyan-153485304</t>
  </si>
  <si>
    <t>Fisheries knowledge exchange and mobilization through a network of policy and practice actors</t>
  </si>
  <si>
    <t>157-166</t>
  </si>
  <si>
    <t>Andrachuk, M. and Kadykalo, A.N. and Cooke, S.J. and Young, N. and Nguyen, V.M.</t>
  </si>
  <si>
    <t>https://www.scopus.com/inward/record.uri?eid=2-s2.0-85114917772&amp;doi=10.1016%2fj.envsci.2021.08.023&amp;partnerID=40&amp;md5=f1ab7937bb5169ed51b978943bed94a1</t>
  </si>
  <si>
    <t>&lt;p&gt;Export Date: 27 January 2025; Cited By: 10&lt;/p&gt; | RAYYAN-INCLUSION: {"Sarah"=&gt;"Included"}</t>
  </si>
  <si>
    <t>10.1016/j.envsci.2021.08.023</t>
  </si>
  <si>
    <t>adult;article;British Columbia;career;Conservation;consultation;fishery;government;human;interview;Knowledge mediation;Knowledge mobilization;nonhuman;Oncorhynchus mykiss;problem solving;Rainbow trout;Scientific knowledge</t>
  </si>
  <si>
    <t>rayyan-153485317</t>
  </si>
  <si>
    <t>Looking for a common ground: Useful knowledge and adaptation in Wolf politics in southwestern Finland</t>
  </si>
  <si>
    <t>Wildlife Biology</t>
  </si>
  <si>
    <t>Pellikka, J. and HiedanpÃ¤Ã¤, J.</t>
  </si>
  <si>
    <t>https://www.scopus.com/inward/record.uri?eid=2-s2.0-85019902945&amp;doi=10.2981%2fwlb.00269&amp;partnerID=40&amp;md5=83faba9414eb34626ebcdf327c81c330</t>
  </si>
  <si>
    <t>&lt;p&gt;Export Date: 27 January 2025; Cited By: 3&lt;/p&gt; | RAYYAN-INCLUSION: {"Carlos"=&gt;"Included"}</t>
  </si>
  <si>
    <t>10.2981/wlb.00269</t>
  </si>
  <si>
    <t>rayyan-153485320</t>
  </si>
  <si>
    <t>Role of perceptions and knowledge in the impact assessment for the extension of Mainport Rotterdam</t>
  </si>
  <si>
    <t>146-155</t>
  </si>
  <si>
    <t>Hommes, S. and Hulscher, S.J.M.H. and Mulder, J.P.M. and Otter, H.S. and Bressers, H.Th.A.</t>
  </si>
  <si>
    <t>https://www.scopus.com/inward/record.uri?eid=2-s2.0-57049140422&amp;doi=10.1016%2fj.marpol.2008.05.006&amp;partnerID=40&amp;md5=ce26a7a5a67ac9658de92439a9418d4c</t>
  </si>
  <si>
    <t>&lt;p&gt;Export Date: 27 January 2025; Cited By: 38&lt;/p&gt; | RAYYAN-INCLUSION: {"Nibedita"=&gt;"Included", "Isobel"=&gt;"Included"}</t>
  </si>
  <si>
    <t>10.1016/j.marpol.2008.05.006</t>
  </si>
  <si>
    <t>Atlantic Ocean;Aves;Benelux;Case study;coastal zone management;Complex problems;decision making;Decision-making;environmental impact assessment;Eurasia;Europe;knowledge;Knowledge;land reclamation;Netherlands;North Sea;perception;Perceptions;port development;protected area;Rotterdam;South Holland;stakeholder;Wadden Sea;Western Europe;wetland management</t>
  </si>
  <si>
    <t>rayyan-153485329</t>
  </si>
  <si>
    <t>Discounted knowledges: Farmers' and residents' understandings of nature conservation goals and policies</t>
  </si>
  <si>
    <t>305-320</t>
  </si>
  <si>
    <t>Harrison, C.M. and Burgess, J. and Clark, J.</t>
  </si>
  <si>
    <t>https://www.scopus.com/inward/record.uri?eid=2-s2.0-0032412230&amp;doi=10.1006%2fjema.1998.0242&amp;partnerID=40&amp;md5=e02b1bef5ff2d45fcb8f06a1c296ae35</t>
  </si>
  <si>
    <t>&lt;p&gt;Export Date: 27 January 2025; Cited By: 106&lt;/p&gt; | RAYYAN-INCLUSION: {"Iris"=&gt;"Excluded"}</t>
  </si>
  <si>
    <t>10.1006/jema.1998.0242</t>
  </si>
  <si>
    <t>Agri-environmental schemes;agricultural worker;article;biodiversity;Biodiversity;decision making;Discussion groups;East Sussex;emotion;environmental protection;ethics;farmers attitude;finance;government;human;information;motivation;nature conservation;Nature conservation;Pevensey Levels;policy;Scientific and lay knowledge;United Kingdom;wildlife</t>
  </si>
  <si>
    <t>rayyan-153485331</t>
  </si>
  <si>
    <t>Fisherwomenâ€™s Indigenous and local knowledge - the hidden gems for the management of marine and freshwater resources in Fiji</t>
  </si>
  <si>
    <t>Kitolelei, S. and Breckwoldt, A. and Kitolelei, J. and Makhoul, N.</t>
  </si>
  <si>
    <t>https://www.scopus.com/inward/record.uri?eid=2-s2.0-85144221235&amp;doi=10.3389%2ffmars.2022.991253&amp;partnerID=40&amp;md5=ab8be97a3961da7dbddd8f740a17702e</t>
  </si>
  <si>
    <t>&lt;p&gt;Export Date: 27 January 2025; Cited By: 10&lt;/p&gt; | RAYYAN-INCLUSION: {"Alec"=&gt;"Excluded"}</t>
  </si>
  <si>
    <t>10.3389/fmars.2022.991253</t>
  </si>
  <si>
    <t>fisherwomen;ILK;keystone species;knowledge transmission;resource management;traditional taxonomies</t>
  </si>
  <si>
    <t>rayyan-153485336</t>
  </si>
  <si>
    <t>Integration of landscape and structure indicators into a web-based geoinformation system for assessing wetlands status</t>
  </si>
  <si>
    <t>Ecological Informatics</t>
  </si>
  <si>
    <t>166-176</t>
  </si>
  <si>
    <t>Siles, G. and Charland, A. and Voirin, Y. and BÃ©niÃ©, G.B.</t>
  </si>
  <si>
    <t>https://www.scopus.com/inward/record.uri?eid=2-s2.0-85066408430&amp;doi=10.1016%2fj.ecoinf.2019.05.011&amp;partnerID=40&amp;md5=008ccde4b06e2de0ed62aaf4850793ec</t>
  </si>
  <si>
    <t>&lt;p&gt;Export Date: 27 January 2025; Cited By: 14&lt;/p&gt; | RAYYAN-INCLUSION: {"Philip"=&gt;"Excluded", "Aidan"=&gt;"Excluded"}</t>
  </si>
  <si>
    <t>10.1016/j.ecoinf.2019.05.011</t>
  </si>
  <si>
    <t>Canada;conservation planning;decision making;Ecological integrity;generalist;GIS;Index of Biotic Integrity;information management;Management;metapopulation;Metapopulation;Quebec [Canada];Web-GIS;wetland;Wetlands</t>
  </si>
  <si>
    <t>rayyan-153485350</t>
  </si>
  <si>
    <t>Bridging the knowing-doing gap: Know-who, know-what, know-why, know-how and know-when</t>
  </si>
  <si>
    <t>1131-1136</t>
  </si>
  <si>
    <t>Hulme, P.E.</t>
  </si>
  <si>
    <t>https://www.scopus.com/inward/record.uri?eid=2-s2.0-85027950766&amp;doi=10.1111%2f1365-2664.12321&amp;partnerID=40&amp;md5=a26c505f9adee616d8ed88353c2fe7fd</t>
  </si>
  <si>
    <t>&lt;p&gt;Export Date: 27 January 2025; Cited By: 126&lt;/p&gt; | RAYYAN-INCLUSION: {"Sarah"=&gt;"Excluded"}</t>
  </si>
  <si>
    <t>10.1111/1365-2664.12321</t>
  </si>
  <si>
    <t>Advocacy;Biodiversity;Conservation;Consultancy;Decision-making;Ecosystem services;Partnership;Policy;Problem-solving;Restoration</t>
  </si>
  <si>
    <t>rayyan-153485355</t>
  </si>
  <si>
    <t>The effect of scientific evidence on conservation practitioners' management decisions</t>
  </si>
  <si>
    <t>88-98</t>
  </si>
  <si>
    <t>Walsh, J.C. and Dicks, L.V. and Sutherland, W.J.</t>
  </si>
  <si>
    <t>https://www.scopus.com/inward/record.uri?eid=2-s2.0-84921435512&amp;doi=10.1111%2fcobi.12370&amp;partnerID=40&amp;md5=4a129b3be0144f2d6514b056aa266997</t>
  </si>
  <si>
    <t>&lt;p&gt;Export Date: 27 January 2025; Cited By: 173&lt;/p&gt; | RAYYAN-INCLUSION: {"Tabitha"=&gt;"Included"}</t>
  </si>
  <si>
    <t>10.1111/cobi.12370</t>
  </si>
  <si>
    <t>animal;Animals;Australia;Aves;Behavior change;bird;Bird predation;Birds;Choice Behavior;Conservation of Natural Resources;Conservation synopsis;decision making;Decision Making;Delphi method;environmental protection;Evidence-based conservation;Great Britain;Implementation gap;Invasive species;Knowledge use;New Zealand;physiology;procedures;United Kingdom</t>
  </si>
  <si>
    <t>rayyan-153485365</t>
  </si>
  <si>
    <t>Knowledge that Acts: Evaluating the Outcomes of a Knowledge Brokering Intervention in Western Australiaâ€™s Ningaloo Region</t>
  </si>
  <si>
    <t>896-907</t>
  </si>
  <si>
    <t>Chapman, K. and Boschetti, F. and Fulton, E. and Horwitz, P. and Jones, T. and Scherrer, P. and Syme, G.</t>
  </si>
  <si>
    <t>https://www.scopus.com/inward/record.uri?eid=2-s2.0-85027868874&amp;doi=10.1007%2fs00267-017-0917-1&amp;partnerID=40&amp;md5=f4d52acf004244364310a636e329bd34</t>
  </si>
  <si>
    <t>&lt;p&gt;Export Date: 27 January 2025; Cited By: 15&lt;/p&gt; | RAYYAN-INCLUSION: {"Isobel"=&gt;"Included"}</t>
  </si>
  <si>
    <t>10.1007/s00267-017-0917-1</t>
  </si>
  <si>
    <t>Australia;behavior;coastal zone;comparative effectiveness;conceptual framework;Conservation of Natural Resources;economics;England;environmental management;Environmental management;environmental protection;human;Humans;implementation process;information dissemination;Information Dissemination;Knowledge brokering;Knowledge brokers;Knowledge exchange;knowledge management;Knowledge management;Knowledge Management;Knowledge-sharing;local participation;Models, Theoretical;Ningaloo;Ningaloo Coast;Parks;participatory research;procedures;publication;recipient;research;Research;Research policies;research program;Research-implementation gap;SAGE;scientist;stakeholder;Stakeholder engagement;Tacit knowledge;theoretical model;traditional knowledge;typology;underpinning;Western Australia</t>
  </si>
  <si>
    <t>rayyan-153485368</t>
  </si>
  <si>
    <t>Professional ecological knowledge: An unrecognized knowledge domain within natural resource management</t>
  </si>
  <si>
    <t>Fleischman, F. and Briske, D.D.</t>
  </si>
  <si>
    <t>https://www.scopus.com/inward/record.uri?eid=2-s2.0-84962709784&amp;doi=10.5751%2fES-08274-210132&amp;partnerID=40&amp;md5=5f8e47c720ab5641f997e03ebf842905</t>
  </si>
  <si>
    <t>&lt;p&gt;Export Date: 27 January 2025; Cited By: 23&lt;/p&gt; | RAYYAN-INCLUSION: {"Matthew"=&gt;"Excluded", "Elina"=&gt;"Excluded"}</t>
  </si>
  <si>
    <t>10.5751/ES-08274-210132</t>
  </si>
  <si>
    <t>decision making;government;Government agencies;India;Knowledge domains;Knowledge integration;Local knowledge;natural resource;resource management;Science-policy gap;Scientific knowledge;traditional knowledge</t>
  </si>
  <si>
    <t>rayyan-153485379</t>
  </si>
  <si>
    <t>Realising the potential of interoperable data products to improve the outlook for marine biodiversity: Lessons from the European marine observation and data network</t>
  </si>
  <si>
    <t>Webb, T.J. and Beja, J. and Bejarano, S.J.F. and Ramos, E. and Sainz-Villegas, S. and Soetaert, K. and Stolte, W. and Troupin, C. and Weigel, B.</t>
  </si>
  <si>
    <t>https://www.scopus.com/inward/record.uri?eid=2-s2.0-85214348607&amp;doi=10.1016%2fj.marpol.2024.106578&amp;partnerID=40&amp;md5=60a01a1847d001a2dedd51843544e0dc</t>
  </si>
  <si>
    <t>&lt;p&gt;Export Date: 27 January 2025; Cited By: 0&lt;/p&gt; | RAYYAN-INCLUSION: {"Sarah"=&gt;"Excluded"}</t>
  </si>
  <si>
    <t>10.1016/j.marpol.2024.106578</t>
  </si>
  <si>
    <t>biodiversity;Computational tools;Ecoinformatics;Ecological indicators;environmental indicator;environmental management;environmental monitoring;Europe;European seas;FAIR data;Marine biodiversity monitoring;marine ecosystem</t>
  </si>
  <si>
    <t>rayyan-153485380</t>
  </si>
  <si>
    <t>Conservation practitionersâ€™ and researchersâ€™ needs for bridging the knowledgeâ€“action gap</t>
  </si>
  <si>
    <t>Frontiers in Conservation Science</t>
  </si>
  <si>
    <t>Sabo, A.N. and Berger-Tal, O. and Blumstein, D.T. and Greggor, A.L. and Swaddle, J.P.</t>
  </si>
  <si>
    <t>https://www.scopus.com/inward/record.uri?eid=2-s2.0-85199431233&amp;doi=10.3389%2ffcosc.2024.1415127&amp;partnerID=40&amp;md5=092d4f9afb5fd760d4bf6b39419514ba</t>
  </si>
  <si>
    <t>&lt;p&gt;Export Date: 27 January 2025; Cited By: 0&lt;/p&gt; | RAYYAN-INCLUSION: {"Philip"=&gt;"Excluded", "Nibedita"=&gt;"Included"}</t>
  </si>
  <si>
    <t>10.3389/fcosc.2024.1415127</t>
  </si>
  <si>
    <t>decision support tools;implementation gap;knowledge use;research impact;research utilization</t>
  </si>
  <si>
    <t>rayyan-153485392</t>
  </si>
  <si>
    <t>Historical archive sources as knowledge for the current management of common pastures</t>
  </si>
  <si>
    <t>Pirineos</t>
  </si>
  <si>
    <t>VÃ¡zquez, I.</t>
  </si>
  <si>
    <t>https://www.scopus.com/inward/record.uri?eid=2-s2.0-85073654306&amp;doi=10.3989%2fpirineos.2019.174005&amp;partnerID=40&amp;md5=3c374d1adba1c631228b55d71a436d23</t>
  </si>
  <si>
    <t>&lt;p&gt;Export Date: 27 January 2025; Cited By: 2&lt;/p&gt; | RAYYAN-INCLUSION: {"Isobel"=&gt;"Excluded"}</t>
  </si>
  <si>
    <t>10.3989/pirineos.2019.174005</t>
  </si>
  <si>
    <t>common property resource;Common-pool resources;conservation planning;governance approach;Historical archive sources;historical record;Institutional memory;knowledge economy;Participatory planning;pasture;resource management;stakeholder</t>
  </si>
  <si>
    <t>rayyan-153485393</t>
  </si>
  <si>
    <t>Beyond biology: Toward a more public ecology for conservation</t>
  </si>
  <si>
    <t>970-979</t>
  </si>
  <si>
    <t>Robertson, D.P. and Hull, R.B.</t>
  </si>
  <si>
    <t>https://www.scopus.com/inward/record.uri?eid=2-s2.0-0034910307&amp;doi=10.1046%2fj.1523-1739.2001.015004970.x&amp;partnerID=40&amp;md5=9eb82b6c0836849110ebb9ad62965f09</t>
  </si>
  <si>
    <t>&lt;p&gt;Export Date: 27 January 2025; Cited By: 124&lt;/p&gt; | RAYYAN-INCLUSION: {"Carlos"=&gt;"Excluded"}</t>
  </si>
  <si>
    <t>10.1046/j.1523-1739.2001.015004970.x</t>
  </si>
  <si>
    <t>decision making;information policy;nature conservation</t>
  </si>
  <si>
    <t>rayyan-153485396</t>
  </si>
  <si>
    <t>Making knowledge matter: Understanding and improving knowledge-integration in Dutch marine spatial planning policy</t>
  </si>
  <si>
    <t>de Vries, J.W. and Spijkerboer, R.C. and Zuidema, C.</t>
  </si>
  <si>
    <t>https://www.scopus.com/inward/record.uri?eid=2-s2.0-85178435417&amp;doi=10.1016%2fj.ocecoaman.2023.106928&amp;partnerID=40&amp;md5=64bbd1ef7fafe3b8cc4da844dedfbe80</t>
  </si>
  <si>
    <t>&lt;p&gt;Export Date: 27 January 2025; Cited By: 2&lt;/p&gt; | RAYYAN-INCLUSION: {"Prishnee"=&gt;"Included"}</t>
  </si>
  <si>
    <t>10.1016/j.ocecoaman.2023.106928</t>
  </si>
  <si>
    <t>Condition;Ecology;Electric utilities;governance approach;Integration;knowledge;Knowledge integration;Knowledge management;Knowledge uptake;marine environment;Marine spatial planning;Marine Spatial Planning;Netherlands;North Sea;Offshore wind farm governance;Offshore wind farms;Planning policies;Public policy;Science-policy interface;Socio-ecological systems;spatial planning;stakeholder;Wind farm development</t>
  </si>
  <si>
    <t>rayyan-153485398</t>
  </si>
  <si>
    <t>Current practices and knowledge supporting oil spill risk assessment in the Arctic</t>
  </si>
  <si>
    <t>Marine Environmental Research</t>
  </si>
  <si>
    <t>289-304</t>
  </si>
  <si>
    <t>Wenning, R.J. and Robinson, H. and Bock, M. and Rempel-Hester, M.A. and Gardiner, W.</t>
  </si>
  <si>
    <t>https://www.scopus.com/inward/record.uri?eid=2-s2.0-85054004174&amp;doi=10.1016%2fj.marenvres.2018.09.006&amp;partnerID=40&amp;md5=3482f6f507a448913e2f222bb26718e6</t>
  </si>
  <si>
    <t>&lt;p&gt;Export Date: 27 January 2025; Cited By: 32&lt;/p&gt; | RAYYAN-INCLUSION: {"Elina"=&gt;"Excluded", "Alec"=&gt;"Excluded"}</t>
  </si>
  <si>
    <t>10.1016/j.marenvres.2018.09.006</t>
  </si>
  <si>
    <t>Arctic;arctic environment;Arctic Ocean;Arctic Regions;article;Chemical analysis;Comparative risk assessment (CRA);Comparative risk assessments;comparative study;decision making;Decision making;ecosystem;Ecosystem;Ecosystems;efficiency measurement;environment;Environment;Environmental benefits;Impact mitigation;joint;marine ecosystem;Marine pollution;Net environmental benefits analysis (NEBA);oil spill;oil spill response;Oil spill response;Oil spills;Petroleum Pollution;Petroleum prospecting;pollution control;pollution exposure;pollution monitoring;risk assessment;Risk assessment;Risk Assessment;Spill impact mitigation assessment (SIMA);vulnerability</t>
  </si>
  <si>
    <t>rayyan-153485429</t>
  </si>
  <si>
    <t>Application of MODIS NDVI for Monitoring Kenyan Rangelands Through a Web Based Decision Support Tool</t>
  </si>
  <si>
    <t>Frontiers in Environmental Science</t>
  </si>
  <si>
    <t>Ndungu, L. and Oware, M. and Omondi, S. and Wahome, A. and Mugo, R. and Adams, E.</t>
  </si>
  <si>
    <t>https://www.scopus.com/inward/record.uri?eid=2-s2.0-85077273418&amp;doi=10.3389%2ffenvs.2019.00187&amp;partnerID=40&amp;md5=e5fe74298c312f23aa6d6dfcabbab1f5</t>
  </si>
  <si>
    <t>&lt;p&gt;Export Date: 27 January 2025; Cited By: 9&lt;/p&gt; | RAYYAN-INCLUSION: {"Tabitha"=&gt;"Excluded"}</t>
  </si>
  <si>
    <t>10.3389/fenvs.2019.00187</t>
  </si>
  <si>
    <t>ASALS;Kenya;MODIS;NDVI;rangelands;vegetation indices</t>
  </si>
  <si>
    <t>rayyan-153485430</t>
  </si>
  <si>
    <t>Floodplain meadow partnership: A working model of effective communication between practitioners, academics and policymakers</t>
  </si>
  <si>
    <t>Ecological Solutions and Evidence</t>
  </si>
  <si>
    <t>Rothero, E. and Tatarenko, I. and Jefferson, R. and Skinner, A. and Wallace, H. and Gowing, D. and Clarke, S. and Johnson, M. and Davies, G.</t>
  </si>
  <si>
    <t>https://www.scopus.com/inward/record.uri?eid=2-s2.0-85132673912&amp;doi=10.1002%2f2688-8319.12072&amp;partnerID=40&amp;md5=103f15885a9b40f1fab98b1f73c4de1d</t>
  </si>
  <si>
    <t>&lt;p&gt;Export Date: 27 January 2025; Cited By: 0&lt;/p&gt; | RAYYAN-INCLUSION: {"Philip"=&gt;"Excluded", "Carlos"=&gt;"Included"}</t>
  </si>
  <si>
    <t>10.1002/2688-8319.12072</t>
  </si>
  <si>
    <t>floodplain meadow;habitat conservation;outreach coordinator;research coordinator;translational ecology</t>
  </si>
  <si>
    <t>rayyan-153485431</t>
  </si>
  <si>
    <t>Conservation in the dark? The information used to support management decisions</t>
  </si>
  <si>
    <t>Frontiers in Ecology and the Environment</t>
  </si>
  <si>
    <t>181-188</t>
  </si>
  <si>
    <t>Cook, C.N. and Hockings, M. and Carter, R.W.</t>
  </si>
  <si>
    <t>https://www.scopus.com/inward/record.uri?eid=2-s2.0-77951703908&amp;doi=10.1890%2f090020&amp;partnerID=40&amp;md5=e248b2edb6709171c8467e10d75d2cfe</t>
  </si>
  <si>
    <t>&lt;p&gt;Export Date: 27 January 2025; Cited By: 260&lt;/p&gt; | RAYYAN-INCLUSION: {"Philip"=&gt;"Included", "Aidan"=&gt;"Included"}</t>
  </si>
  <si>
    <t>10.1890/090020</t>
  </si>
  <si>
    <t>Australia;conservation management;decision making;investment;management practice;protected area</t>
  </si>
  <si>
    <t>rayyan-153485441</t>
  </si>
  <si>
    <t>Combining spatial prioritization and expert knowledge facilitates effectiveness of large-scale mire protection process in Finland</t>
  </si>
  <si>
    <t>Kareksela, S. and Aapala, K. and Alanen, A. and Haapalehto, T. and Kotiaho, J.S. and LehtomÃ¤ki, J. and Leikola, N. and Mikkonen, N. and Moilanen, A. and Nieminen, E. and Tuominen, S. and Virkkala, R.</t>
  </si>
  <si>
    <t>https://www.scopus.com/inward/record.uri?eid=2-s2.0-85078812918&amp;doi=10.1016%2fj.biocon.2019.108324&amp;partnerID=40&amp;md5=b61a4b0ca0e2938e5d02af1c5ca1a85e</t>
  </si>
  <si>
    <t>&lt;p&gt;Export Date: 27 January 2025; Cited By: 12&lt;/p&gt; | RAYYAN-INCLUSION: {"Sarah"=&gt;"Excluded"}</t>
  </si>
  <si>
    <t>10.1016/j.biocon.2019.108324</t>
  </si>
  <si>
    <t>conservation management;conservation planning;Expert knowledge;Finland;Implementation;mire;Mires;prioritization;quantitative analysis;resource allocation;restoration ecology;Restoration prioritization;Spatial prioritization;trade-off;Trade-offs;wetland management</t>
  </si>
  <si>
    <t>rayyan-153485442</t>
  </si>
  <si>
    <t>What becomes of social science knowledge: New Zealand researchers' experiences of knowledge transfer modes and audiences</t>
  </si>
  <si>
    <t>Kotuitui</t>
  </si>
  <si>
    <t>Witten, K. and Hammond, K.</t>
  </si>
  <si>
    <t>https://www.scopus.com/inward/record.uri?eid=2-s2.0-77957092428&amp;doi=10.1080%2f1177083X.2010.495048&amp;partnerID=40&amp;md5=c9ceb0c98412db440a5795d65f9da36b</t>
  </si>
  <si>
    <t>&lt;p&gt;Export Date: 27 January 2025; Cited By: 6&lt;/p&gt; | RAYYAN-INCLUSION: {"Philip"=&gt;"Excluded", "Prishnee"=&gt;"Excluded"}</t>
  </si>
  <si>
    <t>10.1080/1177083X.2010.495048</t>
  </si>
  <si>
    <t>Knowledge transfer;Policy-making;Research use;Social science</t>
  </si>
  <si>
    <t>rayyan-153485444</t>
  </si>
  <si>
    <t>Estimating species response to management using an integrated process: A case study from New South Wales, Australia</t>
  </si>
  <si>
    <t>Mayfield, H.J. and Brazill-Boast, J. and Gorrod, E. and Evans, M.C. and Auld, T. and Rhodes, J.R. and Maron, M.</t>
  </si>
  <si>
    <t>https://www.scopus.com/inward/record.uri?eid=2-s2.0-85122066578&amp;doi=10.1111%2fcsp2.269&amp;partnerID=40&amp;md5=91c7663d1e4ab50e52d38d108463eb1e</t>
  </si>
  <si>
    <t>&lt;p&gt;Export Date: 27 January 2025; Cited By: 7&lt;/p&gt; | RAYYAN-INCLUSION: {"Philip"=&gt;"Excluded", "Nibedita"=&gt;"Included"}</t>
  </si>
  <si>
    <t>10.1111/csp2.269</t>
  </si>
  <si>
    <t>rayyan-153485453</t>
  </si>
  <si>
    <t>The influence of ecological knowledge on biodiversity conservation policies: A strategic challenge for knowledge producers</t>
  </si>
  <si>
    <t>97-105</t>
  </si>
  <si>
    <t>Coreau, A. and Guillet, F. and Rabaud, S.</t>
  </si>
  <si>
    <t>https://www.scopus.com/inward/record.uri?eid=2-s2.0-85054173854&amp;doi=10.1016%2fj.jnc.2017.10.008&amp;partnerID=40&amp;md5=1b59c6c5ed681382df159ab1fbd2b779</t>
  </si>
  <si>
    <t>&lt;p&gt;Export Date: 27 January 2025; Cited By: 6&lt;/p&gt; | RAYYAN-INCLUSION: {"Philip"=&gt;"Included", "Prishnee"=&gt;"Included", "Isobel"=&gt;"Included"}</t>
  </si>
  <si>
    <t>10.1016/j.jnc.2017.10.008</t>
  </si>
  <si>
    <t>action plan;biodiversity;Conservation NGO;environmental policy;Environmental strategy;knowledge;Knowledge producer;Mode of action;nongovernmental organization;Partnership;partnership approach;policy implementation;Research team;strategic approach</t>
  </si>
  <si>
    <t>rayyan-153485474</t>
  </si>
  <si>
    <t>Think regionally, act locally: Perspectives on co-design of spatial conservation prioritization tools and why end-user engagement altered our approach</t>
  </si>
  <si>
    <t>Van Lanen, N.J. and Shyvers, J.E. and Tarbox, B.C. and Monroe, A.P. and Anderson, P.J. and Jones, D.K. and Dahm, K.G. and Aldridge, C.L.</t>
  </si>
  <si>
    <t>https://www.scopus.com/inward/record.uri?eid=2-s2.0-85197723241&amp;doi=10.1111%2fcsp2.13154&amp;partnerID=40&amp;md5=9222a0d73f8734d82af2d27c78085dc8</t>
  </si>
  <si>
    <t>&lt;p&gt;Export Date: 27 January 2025; Cited By: 0&lt;/p&gt; | RAYYAN-INCLUSION: {"Carlos"=&gt;"Included"}</t>
  </si>
  <si>
    <t>10.1111/csp2.13154</t>
  </si>
  <si>
    <t>actionable science;coproduction;research implementation gap;stakeholder engagement;systematic conservation planning</t>
  </si>
  <si>
    <t>rayyan-153485475</t>
  </si>
  <si>
    <t>Interdisciplinary problem solving workshops for grizzly bear conservation in Banff National Park, Canada</t>
  </si>
  <si>
    <t>163-187</t>
  </si>
  <si>
    <t>Rutherford, M.B. and Gibeau, M.L. and Clark, S.G. and Chamberlain, E.C.</t>
  </si>
  <si>
    <t>https://www.scopus.com/inward/record.uri?eid=2-s2.0-67349200026&amp;doi=10.1007%2fs11077-009-9075-5&amp;partnerID=40&amp;md5=f23b30d0ebd249a6194decf9ac9f76f3</t>
  </si>
  <si>
    <t>&lt;p&gt;Export Date: 27 January 2025; Cited By: 32&lt;/p&gt; | RAYYAN-INCLUSION: {"Alec"=&gt;"Excluded"}</t>
  </si>
  <si>
    <t>10.1007/s11077-009-9075-5</t>
  </si>
  <si>
    <t>Alberta;Banff National Park;bear;Canada;Collaborative decision making;Conservation policy;decision making;Decision process;environmental policy;Grizzly bear;interdisciplinary approach;Interdisciplinary problem solving;North America;policy analysis;policy making;Policy sciences;Q method;species conservation;Ursus arctos;Wildlife management</t>
  </si>
  <si>
    <t>rayyan-153485492</t>
  </si>
  <si>
    <t>Supporting decision-making by companies in delivering their climate net-zero and nature recovery commitments: Synthesising current information and identifying research priorities in rainforest restoration</t>
  </si>
  <si>
    <t>Global Ecology and Conservation</t>
  </si>
  <si>
    <t>Scriven, S.A. and Waddell, E.H. and Sim, S. and King, H. and Reynolds, G. and Yeong, K.L. and Hill, J.K.</t>
  </si>
  <si>
    <t>https://www.scopus.com/inward/record.uri?eid=2-s2.0-85140293519&amp;doi=10.1016%2fj.gecco.2022.e02305&amp;partnerID=40&amp;md5=54bcf50f197441bb7604b783c43a588e</t>
  </si>
  <si>
    <t>&lt;p&gt;Export Date: 27 January 2025; Cited By: 4&lt;/p&gt; | RAYYAN-INCLUSION: {"Matthew"=&gt;"Excluded", "Philip"=&gt;"Excluded", "Isobel"=&gt;"Excluded"}</t>
  </si>
  <si>
    <t>10.1016/j.gecco.2022.e02305</t>
  </si>
  <si>
    <t>Biodiversity;Borneo;Carbon;Dipterocarpaceae;Rainforest;Restoration</t>
  </si>
  <si>
    <t>rayyan-153485496</t>
  </si>
  <si>
    <t>Interest of quality-based policies for Integrated Coastal Zone Management implementation: Lessons learnt from a French case study</t>
  </si>
  <si>
    <t>831-843</t>
  </si>
  <si>
    <t>Duvat, V.</t>
  </si>
  <si>
    <t>https://www.scopus.com/inward/record.uri?eid=2-s2.0-80053649021&amp;doi=10.1016%2fj.ocecoaman.2011.09.003&amp;partnerID=40&amp;md5=70e5bbce828ff5d7fd7d23655dc4a720</t>
  </si>
  <si>
    <t>&lt;p&gt;Export Date: 27 January 2025; Cited By: 11&lt;/p&gt; | RAYYAN-INCLUSION: {"Aidan"=&gt;"Excluded"}</t>
  </si>
  <si>
    <t>10.1016/j.ocecoaman.2011.09.003</t>
  </si>
  <si>
    <t>Action plan;Atlantic Coast [Europe];Atlantic Coast [France];Atlantic coasts;Building process;Coastal engineering;coastal zone management;Coastal zones;decision making;Decision making process;Follow up;France;implementation process;Integrated coastal zone management;Integration;Iterative cycles;marine policy;participatory approach;Public participation;qualitative analysis;Quality action plans;Regional planning;stakeholder;territorial planning;Territorial planning;Zoning</t>
  </si>
  <si>
    <t>rayyan-153485505</t>
  </si>
  <si>
    <t>The concept of ecosystem networks in ecological panning and design</t>
  </si>
  <si>
    <t>Landschap</t>
  </si>
  <si>
    <t>147-154</t>
  </si>
  <si>
    <t>Opdam, P.</t>
  </si>
  <si>
    <t>https://www.scopus.com/inward/record.uri?eid=2-s2.0-47149105905&amp;partnerID=40&amp;md5=77353b43c2e8e2bb495ddcb064e1d677</t>
  </si>
  <si>
    <t>&lt;p&gt;Export Date: 27 January 2025; Cited By: 2&lt;/p&gt; | RAYYAN-INCLUSION: {"Philip"=&gt;"Excluded", "Nibedita"=&gt;"Excluded"}</t>
  </si>
  <si>
    <t>Ecosystem network;Local planning;Metropolitan landscapes;Spatial development</t>
  </si>
  <si>
    <t>rayyan-153485520</t>
  </si>
  <si>
    <t>Perceptions of Australian Marine protected area managers regarding the role, importance, and achievability of adaptation for managing the risks of climate change</t>
  </si>
  <si>
    <t>Cvitanovic, C. and Marshall, N.A. and Wilson, S.K. and Dobbs, K. and Hobday, A.J.</t>
  </si>
  <si>
    <t>https://www.scopus.com/inward/record.uri?eid=2-s2.0-84924407121&amp;doi=10.5751%2fES-07019-190433&amp;partnerID=40&amp;md5=d19516a23eb663984ef74be2ee338391</t>
  </si>
  <si>
    <t>&lt;p&gt;Export Date: 27 January 2025; Cited By: 43&lt;/p&gt; | RAYYAN-INCLUSION: {"Nibedita"=&gt;"Included", "Isobel"=&gt;"Included"}</t>
  </si>
  <si>
    <t>10.5751/ES-07019-190433</t>
  </si>
  <si>
    <t>adaptive management;Adaptive management;Australia;climate change;conservation management;decision making;Decision making;environmental policy;Knowledge exchange;Knowledge transfer;marine park;perception;Science impact;Science integration;Trust</t>
  </si>
  <si>
    <t>rayyan-153485526</t>
  </si>
  <si>
    <t>Listening to save wildlife: Lessons learnt from use of acoustic technology by a species recovery team</t>
  </si>
  <si>
    <t>DIS 2019 - Proceedings of the 2019 ACM Designing Interactive Systems Conference</t>
  </si>
  <si>
    <t>1335-1348</t>
  </si>
  <si>
    <t>Oliver, J.L. and Brereton, M. and Watson, D.M. and Roe, P.</t>
  </si>
  <si>
    <t>https://www.scopus.com/inward/record.uri?eid=2-s2.0-85070655425&amp;doi=10.1145%2f3322276.3322360&amp;partnerID=40&amp;md5=11139a651392634fa8c4a4438c4cd1b1</t>
  </si>
  <si>
    <t>&lt;p&gt;Export Date: 27 January 2025; Cited By: 11&lt;/p&gt; | RAYYAN-INCLUSION: {"Philip"=&gt;"Excluded"}</t>
  </si>
  <si>
    <t>10.1145/3322276.3322360</t>
  </si>
  <si>
    <t>Acoustic technology;Acoustics;Animals;Conservation;Conservation activities;Cooperative work;Cooperative works;Endangered wildlife;Environmental acoustics;Interaction design;Practical guidelines;Wildlife</t>
  </si>
  <si>
    <t>rayyan-153485548</t>
  </si>
  <si>
    <t>Achieving land degradation neutrality: The role of SLM knowledge in evidence-based decision-making</t>
  </si>
  <si>
    <t>123-134</t>
  </si>
  <si>
    <t>Liniger, H. and Harari, N. and van Lynden, G. and Fleiner, R. and de Leeuw, J. and Bai, Z. and Critchley, W.</t>
  </si>
  <si>
    <t>https://www.scopus.com/inward/record.uri?eid=2-s2.0-85060255527&amp;doi=10.1016%2fj.envsci.2019.01.001&amp;partnerID=40&amp;md5=2526fe6d367d7d88bd2e0b602c342561</t>
  </si>
  <si>
    <t>&lt;p&gt;Export Date: 27 January 2025; Cited By: 56&lt;/p&gt; | RAYYAN-INCLUSION: {"Sarah"=&gt;"Excluded"}</t>
  </si>
  <si>
    <t>10.1016/j.envsci.2019.01.001</t>
  </si>
  <si>
    <t>Article;decision making;ecosystem restoration;evidence based practice;Evidence-based decision-making;financial management;knowledge base;Knowledge management;Land degradation neutrality;land use;Madagascar;Mapping;priority journal;satellite imagery;SLM technologies and approaches;soil degradation;sustainable development;Sustainable land management</t>
  </si>
  <si>
    <t>rayyan-153485556</t>
  </si>
  <si>
    <t>Seeking our shared wisdom: A framework for understanding knowledge coproduction and coproductive capacities</t>
  </si>
  <si>
    <t>Schuttenberg, H.Z. and Guth, H.K.</t>
  </si>
  <si>
    <t>https://www.scopus.com/inward/record.uri?eid=2-s2.0-84923598634&amp;doi=10.5751%2fES-07038-200115&amp;partnerID=40&amp;md5=ab230ebce1528b98bb2a564ecb97243f</t>
  </si>
  <si>
    <t>&lt;p&gt;Export Date: 27 January 2025; Cited By: 90&lt;/p&gt; | RAYYAN-INCLUSION: {"Philip"=&gt;"Excluded", "Tabitha"=&gt;"Included"}</t>
  </si>
  <si>
    <t>10.5751/ES-07038-200115</t>
  </si>
  <si>
    <t>action plan;Anthozoa;climate change;Climate change;conceptual framework;Coproduction;coral reef;Coral reef management;decision making;Governance;governance approach;stakeholder;sustainability;Traditional ecological knowledge;traditional knowledge;World Heritage Site</t>
  </si>
  <si>
    <t>rayyan-153485562</t>
  </si>
  <si>
    <t>Convention on Biological Diversity: A review of national challenges and opportunities for implementation</t>
  </si>
  <si>
    <t>3295-3316</t>
  </si>
  <si>
    <t>Chandra, A. and Idrisova, A.</t>
  </si>
  <si>
    <t>https://www.scopus.com/inward/record.uri?eid=2-s2.0-81555205768&amp;doi=10.1007%2fs10531-011-0141-x&amp;partnerID=40&amp;md5=13587ffb93574be39364d2884ec7d1fd</t>
  </si>
  <si>
    <t>&lt;p&gt;Export Date: 27 January 2025; Cited By: 103&lt;/p&gt; | RAYYAN-INCLUSION: {"Alec"=&gt;"Excluded"}</t>
  </si>
  <si>
    <t>10.1007/s10531-011-0141-x</t>
  </si>
  <si>
    <t>administrative framework;biodiversity;Biodiversity;Capacity;capacity building;Conservation;conservation management;conservation planning;Convention on Biological Diversity (CBD);developing world;economic policy;Implementation;investment;Mainstreaming;national strategy;planning legislation;policy implementation;stakeholder;Third National Reports (TNRs)</t>
  </si>
  <si>
    <t>rayyan-153485570</t>
  </si>
  <si>
    <t>Knowledge exchange through an intermediary organization: A case study on the conservation of biodiversity in Mexico</t>
  </si>
  <si>
    <t>185-194</t>
  </si>
  <si>
    <t>GonzÃ¡lez-Lozada, E. and Castillo, A. and Aranda-Fragoso, A. and Cruz-AngÃ³n, A.</t>
  </si>
  <si>
    <t>https://www.scopus.com/inward/record.uri?eid=2-s2.0-85141892989&amp;doi=10.1016%2fj.envsci.2022.11.004&amp;partnerID=40&amp;md5=18f95f6df3b6dbf8b7da27caa8120050</t>
  </si>
  <si>
    <t>&lt;p&gt;Export Date: 27 January 2025; Cited By: 2&lt;/p&gt; | RAYYAN-INCLUSION: {"Philip"=&gt;"Excluded", "Prishnee"=&gt;"Included", "Nibedita"=&gt;"Included"}</t>
  </si>
  <si>
    <t>10.1016/j.envsci.2022.11.004</t>
  </si>
  <si>
    <t>article;basic science;biodiversity;Biodiversity sciences;catalyst;conservation biology;data quality;data synthesis;decision making;Decision-making;development strategy;diffusion;financial management;human;indigenous knowledge;interview;language;literature review;Mega-data bases;Megadiverse countries governance;Mexico;organization;Scientific evidence</t>
  </si>
  <si>
    <t>rayyan-153485577</t>
  </si>
  <si>
    <t>Spatial and ecological farmer knowledge and decision-making about ecosystem services and biodiversity</t>
  </si>
  <si>
    <t>Kpienbaareh, D. and Kerr, R.B. and Luginaah, I. and Wang, J. and Lupafya, E. and Dakishoni, L. and Shumba, L.</t>
  </si>
  <si>
    <t>https://www.scopus.com/inward/record.uri?eid=2-s2.0-85093663760&amp;doi=10.3390%2fland9100356&amp;partnerID=40&amp;md5=f9809cb9f9ecc650282d0c5abf10f49b</t>
  </si>
  <si>
    <t>&lt;p&gt;Export Date: 27 January 2025; Cited By: 27&lt;/p&gt; | RAYYAN-INCLUSION: {"Aidan"=&gt;"Excluded"}</t>
  </si>
  <si>
    <t>10.3390/land9100356</t>
  </si>
  <si>
    <t>Agroecology;Agroecosystems;Climate change;Ecosystem services;Food security;Malawi;Public participatory GIS</t>
  </si>
  <si>
    <t>rayyan-153485581</t>
  </si>
  <si>
    <t>Managing the Uniqueness of Sierra Nevada Ecosystems Under Global Change: The Value of in situ Scientific Research</t>
  </si>
  <si>
    <t>The Landscape of the Sierra Nevada: A Unique Laboratory of Global Processes in Spain</t>
  </si>
  <si>
    <t>329-349</t>
  </si>
  <si>
    <t>Zamora, R. and PÃ©rez-Luque, A.J. and Granados, J.E. and Ramos, B. and Navarro, J. and Cano-Manuel, J. and Barea-AzcÃ³n, J.M. and AspÃ­zua, R.</t>
  </si>
  <si>
    <t>https://www.scopus.com/inward/record.uri?eid=2-s2.0-85160493837&amp;doi=10.1007%2f978-3-030-94219-9_20&amp;partnerID=40&amp;md5=ef296bc05952ebb4afe36e2000da8ecc</t>
  </si>
  <si>
    <t>&lt;p&gt;Export Date: 27 January 2025; Cited By: 1&lt;/p&gt; | RAYYAN-INCLUSION: {"Alec"=&gt;"Excluded"}</t>
  </si>
  <si>
    <t>Adaptive management;Conservation and restoration;Decision-making;Scientific transference;Support-decision tools;Usable knowledge</t>
  </si>
  <si>
    <t>rayyan-153485582</t>
  </si>
  <si>
    <t>Managing climate change in conservation practice: an exploration of the scienceâ€“management interface in beech forest management</t>
  </si>
  <si>
    <t>3657-3671</t>
  </si>
  <si>
    <t>de Koning, J. and Turnhout, E. and Winkel, G. and Blondet, M. and Borras, L. and Ferranti, F. and Geitzenauer, M. and Sotirov, M. and Jump, A.</t>
  </si>
  <si>
    <t>https://www.scopus.com/inward/record.uri?eid=2-s2.0-85027941842&amp;doi=10.1007%2fs10531-014-0781-8&amp;partnerID=40&amp;md5=8a3503bf4fccd8ff5a1ea7de4adb8411</t>
  </si>
  <si>
    <t>&lt;p&gt;Export Date: 27 January 2025; Cited By: 16&lt;/p&gt; | RAYYAN-INCLUSION: {"Alec"=&gt;"Included"}</t>
  </si>
  <si>
    <t>10.1007/s10531-014-0781-8</t>
  </si>
  <si>
    <t>Climate change;Fagus;Forest management;Knowledge utilization;Natura 2000;Science management interface</t>
  </si>
  <si>
    <t>rayyan-153485603</t>
  </si>
  <si>
    <t>Uncertainty and adaptive management for biodiversity conservation</t>
  </si>
  <si>
    <t>1175-1178</t>
  </si>
  <si>
    <t>Keith, D.A. and Martin, T.G. and McDonald-Madden, E. and Walters, C.</t>
  </si>
  <si>
    <t>https://www.scopus.com/inward/record.uri?eid=2-s2.0-79952628309&amp;doi=10.1016%2fj.biocon.2010.11.022&amp;partnerID=40&amp;md5=8535f1df29470e635947801fb228177d</t>
  </si>
  <si>
    <t>&lt;p&gt;Export Date: 27 January 2025; Cited By: 184&lt;/p&gt; | RAYYAN-INCLUSION: {"Philip"=&gt;"Excluded", "Carlos"=&gt;"Excluded", "Prishnee"=&gt;"Included"}</t>
  </si>
  <si>
    <t>10.1016/j.biocon.2010.11.022</t>
  </si>
  <si>
    <t>adaptive management;biodiversity;Conflict resolution;conservation management;Conservation policy;decision making;Decision making;ecosystem management;Ecosystem management;environmental monitoring;environmental policy;Experimental management;experimental study;implementation process;Learning by doing;Management goals;Monitoring;natural resource;numerical model;Process model;theoretical study;uncertainty analysis</t>
  </si>
  <si>
    <t>rayyan-153485604</t>
  </si>
  <si>
    <t>Public officialsâ€™ knowledge of advances and gaps for implementing the ecosystem approach to fisheries in Chile</t>
  </si>
  <si>
    <t>EstÃ©vez, R.A. and Gelcich, S.</t>
  </si>
  <si>
    <t>https://www.scopus.com/inward/record.uri?eid=2-s2.0-85102592471&amp;doi=10.3390%2fsu13052703&amp;partnerID=40&amp;md5=e3e21cbb9465ecc64870bb6422e8310f</t>
  </si>
  <si>
    <t>&lt;p&gt;Export Date: 27 January 2025; Cited By: 4&lt;/p&gt; | RAYYAN-INCLUSION: {"Philip"=&gt;"Excluded", "Alec"=&gt;"Included"}</t>
  </si>
  <si>
    <t>10.3390/su13052703</t>
  </si>
  <si>
    <t>Adaptive management;bycatch;Chile;coastal zone;Collaboration;Conservation;decision making;ecosystem approach;Equity;fishery;fishery management;Governance;government;Institutions;knowledge;marine environment;Social;spatiotemporal analysis;Traditional knowledge;United Nations</t>
  </si>
  <si>
    <t>rayyan-153485612</t>
  </si>
  <si>
    <t>Tracking the conservation promise of movement ecology</t>
  </si>
  <si>
    <t>Frontiers in Ecology and Evolution</t>
  </si>
  <si>
    <t>Fraser, K.C. and Davies, K.T.A. and Davy, C.M. and Ford, A.T. and Flockhart, D.T.T. and Martins, E.G.</t>
  </si>
  <si>
    <t>https://www.scopus.com/inward/record.uri?eid=2-s2.0-85054639590&amp;doi=10.3389%2ffevo.2018.00150&amp;partnerID=40&amp;md5=ef9a0a567dbb9b2c25e31f38d02b5166</t>
  </si>
  <si>
    <t>&lt;p&gt;Export Date: 27 January 2025; Cited By: 108&lt;/p&gt; | RAYYAN-INCLUSION: {"Philip"=&gt;"Excluded"}</t>
  </si>
  <si>
    <t>10.3389/fevo.2018.00150</t>
  </si>
  <si>
    <t>Bio-logging;Dispersal;Migration;Telemetry;Tracking</t>
  </si>
  <si>
    <t>rayyan-153485629</t>
  </si>
  <si>
    <t>Progress in designing and delivering effective fishing industryâ€“science data collection in the UK</t>
  </si>
  <si>
    <t>Fish and Fisheries</t>
  </si>
  <si>
    <t>622-642</t>
  </si>
  <si>
    <t>Mangi, S.C. and Kupschus, S. and Mackinson, S. and Rodmell, D. and Lee, A. and Bourke, E. and Rossiter, T. and Masters, J. and Hetherington, S. and Catchpole, T. and Righton, D.</t>
  </si>
  <si>
    <t>https://www.scopus.com/inward/record.uri?eid=2-s2.0-85044428493&amp;doi=10.1111%2ffaf.12279&amp;partnerID=40&amp;md5=ce64fd8a2d03ef00cbfd0f9f33da650b</t>
  </si>
  <si>
    <t>&lt;p&gt;Export Date: 27 January 2025; Cited By: 22&lt;/p&gt; | RAYYAN-INCLUSION: {"Isobel"=&gt;"Included"}</t>
  </si>
  <si>
    <t>10.1111/faf.12279</t>
  </si>
  <si>
    <t>collaborative research;data collection protocol;data set;decision making;design method;fisheries management;fisheries-dependent data;fishery management;fishing industry;fishing vessel;incentive;incentives;paradigm shift;stakeholder engagement;strategic approach;United Kingdom</t>
  </si>
  <si>
    <t>rayyan-153485639</t>
  </si>
  <si>
    <t>Natural Resource Managers Use and Value Western-Based Science, but Barriers to Access Persist</t>
  </si>
  <si>
    <t>17-30</t>
  </si>
  <si>
    <t>Piczak, M.L. and Kadykalo, A.N. and Cooke, S.J. and Young, N.</t>
  </si>
  <si>
    <t>https://www.scopus.com/inward/record.uri?eid=2-s2.0-85119372283&amp;doi=10.1007%2fs00267-021-01558-8&amp;partnerID=40&amp;md5=cf2653c8a32f3ce0ff8fb010cb369177</t>
  </si>
  <si>
    <t>&lt;p&gt;Export Date: 27 January 2025; Cited By: 6&lt;/p&gt; | RAYYAN-INCLUSION: {"Isobel"=&gt;"Included"}</t>
  </si>
  <si>
    <t>10.1007/s00267-021-01558-8</t>
  </si>
  <si>
    <t>Action spaces;adult;article;British Columbia;Canada;Conservation;Conservation of Natural Resources;decision making;Decision making;Decisions makings;environmental protection;Evidence-based;Evidence-based conservation;female;government;human;Indigenous knowledge;interview;knowledge;Knowledge;Knowledge action space;male;Management IS;manager;Managers;natural resource;Natural resource management;Natural Resources;Natural resources management;organization;Organizations;persistence;procedures;publishing;resource management;Resource managers;Reviews;salmonid;Science accessibility;systematic review;Western-based science</t>
  </si>
  <si>
    <t>rayyan-153485643</t>
  </si>
  <si>
    <t>Lessons from bright-spots for advancing knowledge exchange at the interface of marine science and policy</t>
  </si>
  <si>
    <t>Karcher, D.B. and Cvitanovic, C. and van Putten, I.E. and Colvin, R.M. and Armitage, D. and Aswani, S. and Ballesteros, M. and Ban, N.C. and BarragÃ¡n-Paladines, M.J. and Bednarek, A. and Bell, J.D. and Brooks, C.M. and Daw, T.M. and de la Cruz-Modino, R. and Francis, T.B. and Fulton, E.A. and Hobday, A.J. and Holcer, D. and Hudson, C. and Jennerjahn, T.C. and Kinney, A. and Knol-Kauffman, M. and LÃ¶f, M.F. and Lopes, P.F.M. and Mackelworth, P.C. and McQuatters-Gollop, A. and Muhl, E.-K. and Neihapi, P. and Pascual-FernÃ¡ndez, J.J. and Posner, S.M. and Runhaar, H. and Sainsbury, K. and Sander, G. and Steenbergen, D.J. and Tuda, P.M. and Whiteman, E. and Zhang, J.</t>
  </si>
  <si>
    <t>https://www.scopus.com/inward/record.uri?eid=2-s2.0-85128482048&amp;doi=10.1016%2fj.jenvman.2022.114994&amp;partnerID=40&amp;md5=012ddc135520c6b8760cdff471b504cf</t>
  </si>
  <si>
    <t>&lt;p&gt;Export Date: 27 January 2025; Cited By: 38&lt;/p&gt; | RAYYAN-INCLUSION: {"Philip"=&gt;"Included", "Alec"=&gt;"Included"}</t>
  </si>
  <si>
    <t>10.1016/j.jenvman.2022.114994</t>
  </si>
  <si>
    <t>article;Behavioral research;Bright spots;decision making;Decision making;Decision Making;Decisions makings;Environmental governances;Evidence-informed decision-making;funding;governance approach;health care policy;Health Policy;human;Humans;Informed decision;interdisciplinary research;knowledge;Knowledge;Knowledge exchange;Knowledge management;learning;Learning;marine environment;Marine environmental governance;marine policy;organization;Organizations;policy;Policy;Public policy;Research impact;Research impacts;Science-policy interface;skill;Transdisciplinary research</t>
  </si>
  <si>
    <t>rayyan-153485647</t>
  </si>
  <si>
    <t>The nature and role of experiential knowledge for environmental conservation</t>
  </si>
  <si>
    <t>Fazey, I. and Fazey, J.A. and Salisbury, J.G. and Lindenmayer, D.B. and Dovers, S.</t>
  </si>
  <si>
    <t>https://www.scopus.com/inward/record.uri?eid=2-s2.0-33745862724&amp;doi=10.1017%2fS037689290600275X&amp;partnerID=40&amp;md5=f9c3e2d005f09e712886318d12a30352</t>
  </si>
  <si>
    <t>&lt;p&gt;Export Date: 27 January 2025; Cited By: 243&lt;/p&gt; | RAYYAN-INCLUSION: {"Iris"=&gt;"Excluded"}</t>
  </si>
  <si>
    <t>10.1017/S037689290600275X</t>
  </si>
  <si>
    <t>conservation;Conservation;decision making;Decision making;Environmental engineering;environmental protection;Evidence-based conservation;Experience;Indigenous knowledge;information;Information management;knowledge;Knowledge acquisition;Knowledge engineering;Mathematical models;outcome assessment;qualitative analysis;quantitative analysis;research;review;statistical significance;Tacit knowledge;Traditional ecological knowledge</t>
  </si>
  <si>
    <t>rayyan-153485651</t>
  </si>
  <si>
    <t>Social networks and fishers' behavior: Exploring the links between information flow and fishing success in the Northumberland lobster fishery</t>
  </si>
  <si>
    <t>Turner, R.A. and Polunin, N.V.C. and Stead, S.M.</t>
  </si>
  <si>
    <t>https://www.scopus.com/inward/record.uri?eid=2-s2.0-84903721218&amp;doi=10.5751%2fES-06456-190238&amp;partnerID=40&amp;md5=dbeb3f21210c350c4c28127201952773</t>
  </si>
  <si>
    <t>&lt;p&gt;Export Date: 27 January 2025; Cited By: 63&lt;/p&gt; | RAYYAN-INCLUSION: {"Carlos"=&gt;"Excluded"}</t>
  </si>
  <si>
    <t>10.5751/ES-06456-190238</t>
  </si>
  <si>
    <t>England;Fisheries management;Fishers' behavior;fishery management;fishing community;Fishing success;information management;Information sharing;Lobster fisheries;lobster fishery;network analysis;Northumberland;social network;Social network analysis;United Kingdom</t>
  </si>
  <si>
    <t>rayyan-153485652</t>
  </si>
  <si>
    <t>Ocean tracking and marine species protection in Australia and Canada: Science, technology, and knowledge brokering</t>
  </si>
  <si>
    <t>Ocean Development and International Law</t>
  </si>
  <si>
    <t>368-377</t>
  </si>
  <si>
    <t>Apostle, R. and Gazit, T. and Haward, M.</t>
  </si>
  <si>
    <t>https://www.scopus.com/inward/record.uri?eid=2-s2.0-84991829827&amp;doi=10.1080%2f00908320.2016.1229944&amp;partnerID=40&amp;md5=cb27dba190dc36b058fb3d6001d6d2f4</t>
  </si>
  <si>
    <t>&lt;p&gt;Export Date: 27 January 2025; Cited By: 4&lt;/p&gt; | RAYYAN-INCLUSION: {"Sarah"=&gt;"Excluded"}</t>
  </si>
  <si>
    <t>10.1080/00908320.2016.1229944</t>
  </si>
  <si>
    <t>Animalia;Australia;biotelemetry;Canada;knowledge;marine environment;Marine species protection knowledge brokerage;marine technology;Ocean tracking;Scienceâ€“policy integration;species conservation;tagging;tracking</t>
  </si>
  <si>
    <t>rayyan-153485655</t>
  </si>
  <si>
    <t>Managing uncertainty in decision-making for conservation science</t>
  </si>
  <si>
    <t>Ben-Haim, Y.</t>
  </si>
  <si>
    <t>https://www.scopus.com/inward/record.uri?eid=2-s2.0-85167590273&amp;doi=10.1111%2fcobi.14164&amp;partnerID=40&amp;md5=b4a394a6152e59696b4484ea25e4657f</t>
  </si>
  <si>
    <t>&lt;p&gt;Export Date: 27 January 2025; Cited By: 3&lt;/p&gt; | RAYYAN-INCLUSION: {"Sarah"=&gt;"Excluded"}</t>
  </si>
  <si>
    <t>10.1111/cobi.14164</t>
  </si>
  <si>
    <t>animal;Animals;biodiversity;Biodiversity;climate change;conservation decisions;conservation management;Conservation of Natural Resources;decision making;decision methodology;decisiones de conservaciÃ³n;endangered species;Endangered Species;environmental protection;funciÃ³n del rendimiento reproductivo;incertidumbre;info-gaps;methodology;metodologÃ­a de decisiones;reproductive output function;robustness;solidez;translocation;uncertainty;Uncertainty;vacÃ­o de informaciÃ³n</t>
  </si>
  <si>
    <t>rayyan-153485657</t>
  </si>
  <si>
    <t>The politics of marine ecosystem management: The case of the channel islands</t>
  </si>
  <si>
    <t>California and the World Ocean - Proceedings of the Conference</t>
  </si>
  <si>
    <t>1200-1214</t>
  </si>
  <si>
    <t>McGinnis, M.V.</t>
  </si>
  <si>
    <t>https://www.scopus.com/inward/record.uri?eid=2-s2.0-21644443528&amp;doi=10.1061%2f40761%28175%29107&amp;partnerID=40&amp;md5=e834a4f445ddcb6b89293e63ff278ab3</t>
  </si>
  <si>
    <t>&lt;p&gt;Export Date: 27 January 2025; Cited By: 0&lt;/p&gt; | RAYYAN-INCLUSION: {"Matthew"=&gt;"Excluded", "Elina"=&gt;"Excluded"}</t>
  </si>
  <si>
    <t>10.1061/40761(175)107</t>
  </si>
  <si>
    <t>Coastal zones;Decision making;Ecological productivity;Economic and social effects;Ecosystem management;Ecosystems;Human activities;Marine life;Ocean habitats;Planning;Productivity;Project management;Seawater</t>
  </si>
  <si>
    <t>rayyan-153485658</t>
  </si>
  <si>
    <t>Designing systematic conservation assessments that promote effective implementation: Best practice from South Africa</t>
  </si>
  <si>
    <t>739-750</t>
  </si>
  <si>
    <t>Knight, A.T. and Driver, A. and Cowling, R.M. and Maze, K. and Desmet, P.G. and Lombard, A.T. and Rouget, M. and Botha, M.A. and Boshoff, A.F. and Castley, J.G. and Goodman, P.S. and Mackinnon, K. and Pierce, S.M. and Sims-Castley, R. and Stewart, W.I. and Von Hase, A.</t>
  </si>
  <si>
    <t>https://www.scopus.com/inward/record.uri?eid=2-s2.0-33745122604&amp;doi=10.1111%2fj.1523-1739.2006.00452.x&amp;partnerID=40&amp;md5=488e039da3d3d4dc07c00d59ddb0a6fe</t>
  </si>
  <si>
    <t>&lt;p&gt;Export Date: 27 January 2025; Cited By: 171&lt;/p&gt; | RAYYAN-INCLUSION: {"Alec"=&gt;"Excluded"}</t>
  </si>
  <si>
    <t>10.1111/j.1523-1739.2006.00452.x</t>
  </si>
  <si>
    <t>Adaptive improvement;Africa;Conservation of Natural Resources;conservation planning;Conservation planning;Conservation-area selection;ecosystem;Ecosystem;environmental protection;implementation process;investment;methodology;Models, Theoretical;Operational model;research;Research;review;Social learning institutions;South Africa;Southern Africa;stakeholder;Sub-Saharan Africa;theoretical model</t>
  </si>
  <si>
    <t>rayyan-153485667</t>
  </si>
  <si>
    <t>Embracing Disruptive New Science? Biotelemetry Meets Co-Management in Canada's Fraser River</t>
  </si>
  <si>
    <t>51-60</t>
  </si>
  <si>
    <t>https://www.scopus.com/inward/record.uri?eid=2-s2.0-85042391368&amp;doi=10.1002%2ffsh.10015&amp;partnerID=40&amp;md5=39112970ba78f068fad9ff3e984c9e3e</t>
  </si>
  <si>
    <t>&lt;p&gt;Export Date: 27 January 2025; Cited By: 13&lt;/p&gt; | RAYYAN-INCLUSION: {"Tabitha"=&gt;"Included", "Elina"=&gt;"Included"}</t>
  </si>
  <si>
    <t>10.1002/fsh.10015</t>
  </si>
  <si>
    <t>rayyan-153485676</t>
  </si>
  <si>
    <t>Collaboration and knowledge networks in coastal resources management: How critical stakeholders interact for multiple-use marine protected area implementation</t>
  </si>
  <si>
    <t>CÃ¡rcamo, P.F. and Garay-FlÃ¼hmann, R. and Gaymer, C.F.</t>
  </si>
  <si>
    <t>https://www.scopus.com/inward/record.uri?eid=2-s2.0-84894060132&amp;doi=10.1016%2fj.ocecoaman.2014.01.007&amp;partnerID=40&amp;md5=d974060e31826243f20ac68c4fb1045a</t>
  </si>
  <si>
    <t>&lt;p&gt;Export Date: 27 January 2025; Cited By: 36&lt;/p&gt; | RAYYAN-INCLUSION: {"Aidan"=&gt;"Excluded"}</t>
  </si>
  <si>
    <t>10.1016/j.ocecoaman.2014.01.007</t>
  </si>
  <si>
    <t>rayyan-153485679</t>
  </si>
  <si>
    <t>A review of science-policy interactions in the Dutch Wadden Sea - The cockle fishery and gas exploitation controversies</t>
  </si>
  <si>
    <t>Journal of Sea Research</t>
  </si>
  <si>
    <t>165-175</t>
  </si>
  <si>
    <t>Floor, J.R. and van Koppen, C.S.A. and Lindeboom, H.J.</t>
  </si>
  <si>
    <t>https://www.scopus.com/inward/record.uri?eid=2-s2.0-84882677371&amp;doi=10.1016%2fj.seares.2012.06.001&amp;partnerID=40&amp;md5=d65ae7ab516527c33bece2b454fda339</t>
  </si>
  <si>
    <t>&lt;p&gt;Export Date: 27 January 2025; Cited By: 14&lt;/p&gt; | RAYYAN-INCLUSION: {"Iris"=&gt;"Excluded"}</t>
  </si>
  <si>
    <t>10.1016/j.seares.2012.06.001</t>
  </si>
  <si>
    <t>Atlantic Ocean;Cockle fishery;decision making;exploitation;fishery management;fishery policy;Gas exploitation;governance approach;Netherlands;North Sea;Science-policy interactions;shellfish fishery;stakeholder;Wadden Sea</t>
  </si>
  <si>
    <t>rayyan-153485680</t>
  </si>
  <si>
    <t>Bridging coastal challenges: The role of remote sensing and future research</t>
  </si>
  <si>
    <t>Regional Studies in Marine Science</t>
  </si>
  <si>
    <t>Masria, A.</t>
  </si>
  <si>
    <t>https://www.scopus.com/inward/record.uri?eid=2-s2.0-85189773858&amp;doi=10.1016%2fj.rsma.2024.103502&amp;partnerID=40&amp;md5=fca49a935d0f99f4bf3868f840339896</t>
  </si>
  <si>
    <t>&lt;p&gt;Export Date: 27 January 2025; Cited By: 3&lt;/p&gt; | RAYYAN-INCLUSION: {"Philip"=&gt;"Excluded", "Prishnee"=&gt;"Excluded"}</t>
  </si>
  <si>
    <t>10.1016/j.rsma.2024.103502</t>
  </si>
  <si>
    <t>Coastal ecosystems;Data interpretation;Environmental monitoring;Land use changes;Remote sensing;Sustainable development</t>
  </si>
  <si>
    <t>rayyan-153485702</t>
  </si>
  <si>
    <t>Ecological indicators: Between the two fires of science and policy</t>
  </si>
  <si>
    <t>Ecological Indicators</t>
  </si>
  <si>
    <t>215-228</t>
  </si>
  <si>
    <t>Turnhout, E. and HisschemÃ¶ller, M. and Eijsackers, H.</t>
  </si>
  <si>
    <t>https://www.scopus.com/inward/record.uri?eid=2-s2.0-33846603587&amp;doi=10.1016%2fj.ecolind.2005.12.003&amp;partnerID=40&amp;md5=9b659b2ea88e7513d44deed6e005315b</t>
  </si>
  <si>
    <t>&lt;p&gt;Export Date: 27 January 2025; Cited By: 314&lt;/p&gt; | RAYYAN-INCLUSION: {"Philip"=&gt;"Excluded"}</t>
  </si>
  <si>
    <t>10.1016/j.ecolind.2005.12.003</t>
  </si>
  <si>
    <t>Boundary work;ecological approach;Ecological indicator;Ecological indicators;Ecology;Ecosystems;environmental assessment;Environmental engineering;environmental indicator;knowledge;Knowledge acquisition;Knowledge utilization;nature conservation;Nature conservation policy;policy analysis;Public policy;Science policy interface;Social sciences</t>
  </si>
  <si>
    <t>rayyan-153485704</t>
  </si>
  <si>
    <t>Post-normal conservation science fills the space between research, policy, and implementation</t>
  </si>
  <si>
    <t>Buschke, F.T. and Botts, E.A. and Sinclair, S.P.</t>
  </si>
  <si>
    <t>https://www.scopus.com/inward/record.uri?eid=2-s2.0-85073980363&amp;doi=10.1111%2fcsp2.73&amp;partnerID=40&amp;md5=a2a994c52420a0396a4f233733650e1d</t>
  </si>
  <si>
    <t>&lt;p&gt;Export Date: 27 January 2025; Cited By: 31&lt;/p&gt; | RAYYAN-INCLUSION: {"Philip"=&gt;"Excluded", "Aidan"=&gt;"Excluded"}</t>
  </si>
  <si>
    <t>10.1111/csp2.73</t>
  </si>
  <si>
    <t>conservation planning;extended peer community;post-normal science;research-implementation gap;scientific paradigms;South Africa;transdisciplinary</t>
  </si>
  <si>
    <t>rayyan-153485706</t>
  </si>
  <si>
    <t>Harnessing the Power of Genomics to Secure the Future of Seafood</t>
  </si>
  <si>
    <t>Trends in Ecology and Evolution</t>
  </si>
  <si>
    <t>665-680</t>
  </si>
  <si>
    <t>Bernatchez, L. and Wellenreuther, M. and Araneda, C. and Ashton, D.T. and Barth, J.M.I. and Beacham, T.D. and Maes, G.E. and Martinsohn, J.T. and Miller, K.M. and Naish, K.A. and Ovenden, J.R. and Primmer, C.R. and Young Suk, H. and Therkildsen, N.O. and Withler, R.E.</t>
  </si>
  <si>
    <t>https://www.scopus.com/inward/record.uri?eid=2-s2.0-85030457435&amp;doi=10.1016%2fj.tree.2017.06.010&amp;partnerID=40&amp;md5=f586e69787cd1773fbcabeb98af89b1a</t>
  </si>
  <si>
    <t>&lt;p&gt;Export Date: 27 January 2025; Cited By: 186&lt;/p&gt; | RAYYAN-INCLUSION: {"Alice"=&gt;"Excluded"}</t>
  </si>
  <si>
    <t>10.1016/j.tree.2017.06.010</t>
  </si>
  <si>
    <t>aquaculture;Aquaculture;aquaculture production;catering service;Fisheries;fishery;fishery management;food security;Food Supply;genome;genomics;Genomics;human;Humans;sea food;seafood;Seafood</t>
  </si>
  <si>
    <t>rayyan-153485709</t>
  </si>
  <si>
    <t>Live ANDES: Mobile-cloud shared workspace for citizen science and wildlife conservation</t>
  </si>
  <si>
    <t>Proceedings - 11th IEEE International Conference on eScience, eScience 2015</t>
  </si>
  <si>
    <t>215-223</t>
  </si>
  <si>
    <t>Bonacic, C. and Neyem, A. and Vasquez, A.</t>
  </si>
  <si>
    <t>https://www.scopus.com/inward/record.uri?eid=2-s2.0-84959060226&amp;doi=10.1109%2feScience.2015.64&amp;partnerID=40&amp;md5=cfa33e3cec8b3fe6c9a1f71646401ef4</t>
  </si>
  <si>
    <t>&lt;p&gt;Export Date: 27 January 2025; Cited By: 4&lt;/p&gt; | RAYYAN-INCLUSION: {"Matthew"=&gt;"Excluded"}</t>
  </si>
  <si>
    <t>10.1109/eScience.2015.64</t>
  </si>
  <si>
    <t>Animals;Application programming interfaces (API);Application programs;Backend as a service;Cloud workspaces;Conservation;Data management;Data science;Data visualization;Digital repositories;Digital repository;Digital storage;e-Science;EScience in the cloud;Information management;Mobile shared workspaces;Shared-workspace;Software design;Wildlife conservation;Windows operating system</t>
  </si>
  <si>
    <t>rayyan-153485718</t>
  </si>
  <si>
    <t>End usersâ€™ perspective on decision support tools in marine spatial planning</t>
  </si>
  <si>
    <t>PÄ±narbaÅŸÄ±, K. and Galparsoro, I. and Borja, Ã.</t>
  </si>
  <si>
    <t>https://www.scopus.com/inward/record.uri?eid=2-s2.0-85070866223&amp;doi=10.1016%2fj.marpol.2019.103658&amp;partnerID=40&amp;md5=9f46b55686afcec59ca6dfce1983d788</t>
  </si>
  <si>
    <t>&lt;p&gt;Export Date: 27 January 2025; Cited By: 17&lt;/p&gt; | RAYYAN-INCLUSION: {"Carlos"=&gt;"Excluded"}</t>
  </si>
  <si>
    <t>10.1016/j.marpol.2019.103658</t>
  </si>
  <si>
    <t>decision support system;ecosystem service;implementation process;marine policy;marine resource;spatial planning</t>
  </si>
  <si>
    <t>rayyan-153485727</t>
  </si>
  <si>
    <t>Public Communication Practices and Beliefs Among Conservation Scientists and Practitioners</t>
  </si>
  <si>
    <t>262-271</t>
  </si>
  <si>
    <t>Kohl, P.A. and Warner, S.E.</t>
  </si>
  <si>
    <t>https://www.scopus.com/inward/record.uri?eid=2-s2.0-85132442403&amp;doi=10.3996%2fJFWM-20-077&amp;partnerID=40&amp;md5=4699a6968defae801ed25508d3b1e3db</t>
  </si>
  <si>
    <t>&lt;p&gt;Export Date: 27 January 2025; Cited By: 3&lt;/p&gt; | RAYYAN-INCLUSION: {"Philip"=&gt;"Excluded", "Prishnee"=&gt;"Excluded", "Nibedita"=&gt;"Included"}</t>
  </si>
  <si>
    <t>10.3996/JFWM-20-077</t>
  </si>
  <si>
    <t>communication training;conservation;public communication;public engagement</t>
  </si>
  <si>
    <t>rayyan-153485748</t>
  </si>
  <si>
    <t>How to make biodiversity knowledge compelling? The case of mosquito control implementation in the Camargue (France)</t>
  </si>
  <si>
    <t>64-71</t>
  </si>
  <si>
    <t>Guillet, F. and Mermet, L.</t>
  </si>
  <si>
    <t>https://www.scopus.com/inward/record.uri?eid=2-s2.0-85020050003&amp;doi=10.1016%2fj.envsci.2017.05.004&amp;partnerID=40&amp;md5=e4b40f811fac04e20256fcc247621895</t>
  </si>
  <si>
    <t>&lt;p&gt;Export Date: 27 January 2025; Cited By: 1&lt;/p&gt; | RAYYAN-INCLUSION: {"Prishnee"=&gt;"Included"}</t>
  </si>
  <si>
    <t>10.1016/j.envsci.2017.05.004</t>
  </si>
  <si>
    <t>Article;Bacillus thuringiensis;biodiversity;Biodiversity scientists;breeding success;Camargue (France);conceptual framework;consensus;conservation biology;controlled study;decision making;environmental policy;Interface science and policy;mosquito control;Mosquito-control;nonhuman;priority journal;scientist;seashore;Strategy</t>
  </si>
  <si>
    <t>rayyan-153485752</t>
  </si>
  <si>
    <t>Improving management of small natural features on private lands by negotiating the science-policy boundary for Maine vernal pools</t>
  </si>
  <si>
    <t>Proceedings of the National Academy of Sciences of the United States of America</t>
  </si>
  <si>
    <t>11002-11006</t>
  </si>
  <si>
    <t>Calhoun, A.J.K. and Jansujwicz, J.S. and Bell, K.P. and Hunter Jr., M.L.</t>
  </si>
  <si>
    <t>https://www.scopus.com/inward/record.uri?eid=2-s2.0-84904998180&amp;doi=10.1073%2fpnas.1323606111&amp;partnerID=40&amp;md5=4e2dfc9674669c2d9656cd708cac6c2a</t>
  </si>
  <si>
    <t>&lt;p&gt;Export Date: 27 January 2025; Cited By: 37&lt;/p&gt; | RAYYAN-INCLUSION: {"Carlos"=&gt;"Included", "Elina"=&gt;"Excluded"}</t>
  </si>
  <si>
    <t>10.1073/pnas.1323606111</t>
  </si>
  <si>
    <t>Animals;community-based conservation;Community-based conservation;Conservation of Natural Resources;Decision Making, Organizational;Ecosystem;Humans;Maine;mesofilter;Mesofilter;natural resource management;Natural resource management;temporary pools;Temporary pools;wood frog;Wood frog</t>
  </si>
  <si>
    <t>rayyan-153485761</t>
  </si>
  <si>
    <t>Applying a knowledgeâ€“action framework for navigating barriers to incorporating telemetry science into fisheries management and conservation: A qualitative study</t>
  </si>
  <si>
    <t>1733-1743</t>
  </si>
  <si>
    <t>Nguyen, V.M. and Young, N. and Cooke, S.J.</t>
  </si>
  <si>
    <t>https://www.scopus.com/inward/record.uri?eid=2-s2.0-85053917569&amp;doi=10.1139%2fcjfas-2017-0303&amp;partnerID=40&amp;md5=a3d5c10b182fbd0f101da46cfee3910a</t>
  </si>
  <si>
    <t>&lt;p&gt;Export Date: 27 January 2025; Cited By: 25&lt;/p&gt; | RAYYAN-INCLUSION: {"Alice"=&gt;"Included"}</t>
  </si>
  <si>
    <t>10.1139/cjfas-2017-0303</t>
  </si>
  <si>
    <t>Animalia</t>
  </si>
  <si>
    <t>rayyan-153485762</t>
  </si>
  <si>
    <t>A Transparent Process for "Evidence-Informed" Policy Making</t>
  </si>
  <si>
    <t>Conservation Letters</t>
  </si>
  <si>
    <t>119-125</t>
  </si>
  <si>
    <t>Dicks, L.V. and Hodge, I. and Randall, N.P. and Scharlemann, J.P.W. and Siriwardena, G.M. and Smith, H.G. and Smith, R.K. and Sutherland, W.J.</t>
  </si>
  <si>
    <t>https://www.scopus.com/inward/record.uri?eid=2-s2.0-84897450089&amp;doi=10.1111%2fconl.12046&amp;partnerID=40&amp;md5=a0765c4f78009680268465f5e31f11ff</t>
  </si>
  <si>
    <t>&lt;p&gt;Export Date: 27 January 2025; Cited By: 96&lt;/p&gt; | RAYYAN-INCLUSION: {"Isobel"=&gt;"Excluded"}</t>
  </si>
  <si>
    <t>10.1111/conl.12046</t>
  </si>
  <si>
    <t>Agriculture;CAP reform;Europe;Evidence-based conservation;Scientific assessment</t>
  </si>
  <si>
    <t>rayyan-153485775</t>
  </si>
  <si>
    <t>Launching collective science-policy-society strategies to conserve the Ziziphus lotus habitat (Priority Habitat 5220)</t>
  </si>
  <si>
    <t>Ecosistemas</t>
  </si>
  <si>
    <t>LÃ³pez-RodrÃ­guez, M.D. and Salinas-Bonillo, M.J. and Torres, M.T. and Pacheco-Romero, M. and Guirado, E. and Castro, H. and Cabello, J.</t>
  </si>
  <si>
    <t>https://www.scopus.com/inward/record.uri?eid=2-s2.0-85085394828&amp;doi=10.7818%2fECOS.1890&amp;partnerID=40&amp;md5=0e49b1eaa67c32fbcc93603b82b258bb</t>
  </si>
  <si>
    <t>10.7818/ECOS.1890</t>
  </si>
  <si>
    <t>Azufaifo;Boundary object;Knowledge co-production;Knowledge transfer;Transdisciplinary science</t>
  </si>
  <si>
    <t>rayyan-153485789</t>
  </si>
  <si>
    <t>A decision support tool for adaptive management of native prairie ecosystems</t>
  </si>
  <si>
    <t>Interfaces</t>
  </si>
  <si>
    <t>334-344</t>
  </si>
  <si>
    <t>Hunt, V.M. and Jacobi, S.K. and Gannon, J.J. and Zorn, J.E. and Moore, C.T. and Lonsdorf, E.V.</t>
  </si>
  <si>
    <t>https://www.scopus.com/inward/record.uri?eid=2-s2.0-84979652098&amp;doi=10.1287%2finte.2015.0822&amp;partnerID=40&amp;md5=1fc782f8531f365f89e0977e67f89b60</t>
  </si>
  <si>
    <t>&lt;p&gt;Export Date: 27 January 2025; Cited By: 5&lt;/p&gt; | RAYYAN-INCLUSION: {"Philip"=&gt;"Excluded", "Carlos"=&gt;"Included"}</t>
  </si>
  <si>
    <t>10.1287/inte.2015.0822</t>
  </si>
  <si>
    <t>Adaptive management;Bayesian statistics;Conservation;Databases;Decision support tool</t>
  </si>
  <si>
    <t>rayyan-153485795</t>
  </si>
  <si>
    <t>A will-oâ€™-the wisp? On the utility of voluntary contributions of data and knowledge from the fishing industry to marine science</t>
  </si>
  <si>
    <t>Steins, N.A. and Mackinson, S. and Mangi, S.C. and Pastoors, M.A. and Stephenson, R.L. and Ballesteros, M. and Brooks, K. and McIsaac, J.A. and Baker, M.R. and Calderwood, J. and Neis, B. and Ogier, E.M. and Reid, D.G.</t>
  </si>
  <si>
    <t>https://www.scopus.com/inward/record.uri?eid=2-s2.0-85145397856&amp;doi=10.3389%2ffmars.2022.954959&amp;partnerID=40&amp;md5=ad1c1778fe63d6e6211c04c6a5bbf261</t>
  </si>
  <si>
    <t>&lt;p&gt;Export Date: 27 January 2025; Cited By: 17&lt;/p&gt; | RAYYAN-INCLUSION: {"Matthew"=&gt;"Excluded"}</t>
  </si>
  <si>
    <t>10.3389/fmars.2022.954959</t>
  </si>
  <si>
    <t>co-production of knowledge;collaborative research;experiential knowledge;fisheries science;fishersâ€™ knowledge research;science-industry research collaboration;stakeholder engagement;trust</t>
  </si>
  <si>
    <t>rayyan-153485799</t>
  </si>
  <si>
    <t>Opportunities for increasing utility of models for rangeland management</t>
  </si>
  <si>
    <t>Rangeland Ecology and Management</t>
  </si>
  <si>
    <t>623-631</t>
  </si>
  <si>
    <t>Derner, J.D. and Augustine, D.J. and Ii, J.C.A. and Ahuja, L.R.</t>
  </si>
  <si>
    <t>https://www.scopus.com/inward/record.uri?eid=2-s2.0-84870178859&amp;doi=10.2111%2fREM-D-11-00122.1&amp;partnerID=40&amp;md5=31a51517acebd16fb79a33c8a2b4f3d7</t>
  </si>
  <si>
    <t>&lt;p&gt;Export Date: 27 January 2025; Cited By: 29&lt;/p&gt; | RAYYAN-INCLUSION: {"Prishnee"=&gt;"Excluded"}</t>
  </si>
  <si>
    <t>10.2111/REM-D-11-00122.1</t>
  </si>
  <si>
    <t>adaptive management;climate change;database;decision making;economic analysis;ecosystem function;enterprise levels;experiential and experimental knowledge;herbivory;knowledge;land management;numerical model;object modeling systems;rangeland;spatiotemporal analysis;state-and-transition models;trade-off</t>
  </si>
  <si>
    <t>rayyan-153485808</t>
  </si>
  <si>
    <t>Co-designing management recommendations with stakeholders: A case study about northern pike (Esox lucius) in the southern Baltic Sea</t>
  </si>
  <si>
    <t>Ehrlich, E. and Bath, A.J. and Niessner, D. and Koemle, D. and Cyrus, E.-M. and Arlinghaus, R.</t>
  </si>
  <si>
    <t>https://www.scopus.com/inward/record.uri?eid=2-s2.0-85151399731&amp;doi=10.1016%2fj.fishres.2023.106687&amp;partnerID=40&amp;md5=8cd1d1708b562e85bf6239ee5e853bde</t>
  </si>
  <si>
    <t>&lt;p&gt;Export Date: 27 January 2025; Cited By: 5&lt;/p&gt; | RAYYAN-INCLUSION: {"Alice"=&gt;"Excluded"}</t>
  </si>
  <si>
    <t>10.1016/j.fishres.2023.106687</t>
  </si>
  <si>
    <t>Cognitive maps;Mental models;Northern pike;Participatory modelling;Stakeholder involvement in fisheries management;Structured decision making</t>
  </si>
  <si>
    <t>rayyan-153485810</t>
  </si>
  <si>
    <t>The value of hydrologic information for watershed management programs: The case of CamboriÃº, Brazil</t>
  </si>
  <si>
    <t>Hamel, P. and Bremer, L.L. and Ponette-GonzÃ¡lez, A.G. and Acosta, E. and Fisher, J.R.B. and Steele, B. and Cavassani, A.T. and Klemz, C. and Blainski, E. and Brauman, K.A.</t>
  </si>
  <si>
    <t>https://www.scopus.com/inward/record.uri?eid=2-s2.0-85076591580&amp;doi=10.1016%2fj.scitotenv.2019.135871&amp;partnerID=40&amp;md5=04b5da7e1396a2677f82ca12ba0ad79b</t>
  </si>
  <si>
    <t>&lt;p&gt;Export Date: 27 January 2025; Cited By: 24&lt;/p&gt; | RAYYAN-INCLUSION: {"Alec"=&gt;"Excluded"}</t>
  </si>
  <si>
    <t>10.1016/j.scitotenv.2019.135871</t>
  </si>
  <si>
    <t>article;Availability;Brazil;calibration;Camboriu;Decision making;Decision support;decision support system;Decision support systems;Decision supports;environmental monitoring;human;hydrological modeling;InVEST;land cover;land use;Land use;land use planning;remote sensing;Remote sensing;river management;Santa Catarina;semi structured interview;Soil conservation;SWAT;uncertainty;Uncertainty;uncertainty analysis;Water conservation;Water management;water resource;watershed;watershed management;Watershed management;Watersheds</t>
  </si>
  <si>
    <t>rayyan-153485812</t>
  </si>
  <si>
    <t>Power, knowledge and the transformative potential of marine community science</t>
  </si>
  <si>
    <t>McAteer, B. and Flannery, W.</t>
  </si>
  <si>
    <t>https://www.scopus.com/inward/record.uri?eid=2-s2.0-85122564730&amp;doi=10.1016%2fj.ocecoaman.2022.106036&amp;partnerID=40&amp;md5=3441ecb355ecb4be3ca3baf82d545a88</t>
  </si>
  <si>
    <t>&lt;p&gt;Export Date: 27 January 2025; Cited By: 10&lt;/p&gt; | RAYYAN-INCLUSION: {"Aidan"=&gt;"Excluded"}</t>
  </si>
  <si>
    <t>10.1016/j.ocecoaman.2022.106036</t>
  </si>
  <si>
    <t>rayyan-153485813</t>
  </si>
  <si>
    <t>Setting biodiversity targets in participatory regional planning: Introducing ecoprofiles</t>
  </si>
  <si>
    <t>Opdam, P. and Pouwels, R. and van Rooij, S. and SteingrÃ¶ver, E. and Vos, C.C.</t>
  </si>
  <si>
    <t>https://www.scopus.com/inward/record.uri?eid=2-s2.0-50149095983&amp;doi=10.5751%2fES-02438-130120&amp;partnerID=40&amp;md5=9d6c33c60d36545f4601c0969be55662</t>
  </si>
  <si>
    <t>&lt;p&gt;Export Date: 27 January 2025; Cited By: 50&lt;/p&gt; | RAYYAN-INCLUSION: {"Isobel"=&gt;"Excluded"}</t>
  </si>
  <si>
    <t>10.5751/ES-02438-130120</t>
  </si>
  <si>
    <t>biodiversity;Biodiversity targets;decision making;Ecosystem networks;knowledge based system;landscape change;landscape ecology;Landscape ecology;metapopulation;Metapopulation persistence;Multi-stakeholder decision making;Multifunctional landscapes;planning process;policy making;regional planning;Regional planning;sustainable development;Sustainable development</t>
  </si>
  <si>
    <t>rayyan-153485833</t>
  </si>
  <si>
    <t>Tackling the Science Usability Gap in a Warming World: Co-Producing Useable Climate Information for Natural Resource Management</t>
  </si>
  <si>
    <t>881-895</t>
  </si>
  <si>
    <t>Cross, M.S. and Oakes, L.E. and Kretser, H.E. and Bredehoft, R. and Dey, P. and Mahoney, A. and Smith, N. and Tator, I. and Wasseen, J.</t>
  </si>
  <si>
    <t>https://www.scopus.com/inward/record.uri?eid=2-s2.0-85138774683&amp;doi=10.1007%2fs00267-022-01718-4&amp;partnerID=40&amp;md5=e12b6792490b39499a6cd521527eb5aa</t>
  </si>
  <si>
    <t>&lt;p&gt;Export Date: 27 January 2025; Cited By: 7&lt;/p&gt; | RAYYAN-INCLUSION: {"Philip"=&gt;"Included", "Prishnee"=&gt;"Included"}</t>
  </si>
  <si>
    <t>10.1007/s00267-022-01718-4</t>
  </si>
  <si>
    <t>Actionable science;adaptation;Adaptation;article;Boundary spanners;Central Department;climate change;Climate change;Climate Change;Climate change adaptation;Climate information;Co-production;Co-production process;comfort;comparative effectiveness;Conservation of Natural Resources;Decision makers;decision making;Decision making;ecosystem;Ecosystem;environmental protection;familiarity;habitat;habitat management;human;Human resource management;Humans;Information use;knowledge;Knowledge;Knowledge management;language;Management planning;manager;natural resource;Natural resource management;Natural Resources;Natural resources management;procedures;Resource allocation;resource management;Scientific information;skill;usability;warming;World</t>
  </si>
  <si>
    <t>rayyan-153485835</t>
  </si>
  <si>
    <t>Operationalizing risk-based cumulative effect assessments in the marine environment</t>
  </si>
  <si>
    <t>StelzenmÃ¼ller, V. and Coll, M. and Cormier, R. and Mazaris, A.D. and Pascual, M. and Loiseau, C. and Claudet, J. and Katsanevakis, S. and Gissi, E. and Evagelopoulos, A. and Rumes, B. and Degraer, S. and Ojaveer, H. and Moller, T. and GimÃ©nez, J. and Piroddi, C. and Markantonatou, V. and Dimitriadis, C.</t>
  </si>
  <si>
    <t>https://www.scopus.com/inward/record.uri?eid=2-s2.0-85082657138&amp;doi=10.1016%2fj.scitotenv.2020.138118&amp;partnerID=40&amp;md5=f87e10bfc3a37bd0d52b371419de75db</t>
  </si>
  <si>
    <t>&lt;p&gt;Export Date: 27 January 2025; Cited By: 58&lt;/p&gt; | RAYYAN-INCLUSION: {"Iris"=&gt;"Excluded"}</t>
  </si>
  <si>
    <t>10.1016/j.scitotenv.2020.138118</t>
  </si>
  <si>
    <t>anthropogenic effect;Canada;Concrete pavements;decision making;Decision making;Decision making process;Decision-making process;Economic and social effects;ecosystem management;Ecosystem-based management;Ecosystems;Effects assessment;environmental change;Europe;French Polynesia;human;marine ecosystem;marine environment;review;Risk analysis;risk assessment;Risk assessment;Risk criteria;Risk criteria and management;Science - policy interfaces;Science-policy interface;uncertainty;Uncertainty analysis</t>
  </si>
  <si>
    <t>rayyan-153485839</t>
  </si>
  <si>
    <t>Natural and social science approaches are both needed to manage bird bycatch in small-scale fisheries</t>
  </si>
  <si>
    <t>Aquatic Conservation: Marine and Freshwater Ecosystems</t>
  </si>
  <si>
    <t>3507-3525</t>
  </si>
  <si>
    <t>Psuty, I. and CaÅ‚kiewicz, J.</t>
  </si>
  <si>
    <t>https://www.scopus.com/inward/record.uri?eid=2-s2.0-85117383271&amp;doi=10.1002%2faqc.3730&amp;partnerID=40&amp;md5=40d6966aa2cd53d2d5cb6d05e95585d1</t>
  </si>
  <si>
    <t>&lt;p&gt;Export Date: 27 January 2025; Cited By: 12&lt;/p&gt; | RAYYAN-INCLUSION: {"Alec"=&gt;"Excluded"}</t>
  </si>
  <si>
    <t>10.1002/aqc.3730</t>
  </si>
  <si>
    <t>Atlantic Ocean;Baltic Sea;Bay;bycatch;conservation;depth;fishers' knowledge;fishery management;gillnet bycatch;local ecological knowledge;modeling;monitoring;Poland [Central Europe];Pomorskie;Puck Bay;seabird;Somalia;southern Baltic</t>
  </si>
  <si>
    <t>rayyan-153485846</t>
  </si>
  <si>
    <t>Navigating diverse commercial fisher perspectives for effective knowledge exchange in fisheries research and management</t>
  </si>
  <si>
    <t>Hoschke, R. and Pauli, N. and Langlois, T. and Knight, A.T. and Davies, H. and Navarro, M.</t>
  </si>
  <si>
    <t>https://www.scopus.com/inward/record.uri?eid=2-s2.0-85194960480&amp;doi=10.1016%2fj.envsci.2024.103798&amp;partnerID=40&amp;md5=c116def1948a04bf6582e96c854ffc1d</t>
  </si>
  <si>
    <t>&lt;p&gt;Export Date: 27 January 2025; Cited By: 2&lt;/p&gt; | RAYYAN-INCLUSION: {"Matthew"=&gt;"Included"}</t>
  </si>
  <si>
    <t>10.1016/j.envsci.2024.103798</t>
  </si>
  <si>
    <t>article;Australia;Australian;budget;consensus;drug therapy;Fishers' knowledge;fishery;fishery management;fishing gear;human;Institutional barriers;institutional framework;knowledge;Knowledge system;Knowledge transfer;Local ecological knowledge;perception;public attitude;questionnaire survey;research work;semi structured interview;strategic approach;traditional knowledge;Western Australia</t>
  </si>
  <si>
    <t>rayyan-153485850</t>
  </si>
  <si>
    <t>Wildlife health 2.0: Bridging the knowledge-to-action gap</t>
  </si>
  <si>
    <t>Journal of Wildlife Diseases</t>
  </si>
  <si>
    <t>Stephen, C.</t>
  </si>
  <si>
    <t>https://www.scopus.com/inward/record.uri?eid=2-s2.0-85009201845&amp;doi=10.7589%2f2016-07-165&amp;partnerID=40&amp;md5=d579fe531e2572ebf1777f198ea51a5c</t>
  </si>
  <si>
    <t>&lt;p&gt;Export Date: 27 January 2025; Cited By: 10&lt;/p&gt; | RAYYAN-INCLUSION: {"Carlos"=&gt;"Excluded", "Elina"=&gt;"Excluded"}</t>
  </si>
  <si>
    <t>10.7589/2016-07-165</t>
  </si>
  <si>
    <t>animal;animal disease;Animal Diseases;Animals;Animals, Wild;Communication;Decision;Health;interpersonal communication;Knowledge mobilization;research;Research;wild animal;Wildlife</t>
  </si>
  <si>
    <t>rayyan-153485874</t>
  </si>
  <si>
    <t>Use of physiological knowledge to control the invasive sea lamprey (Petromyzon marinus) in the Laurentian Great Lakes</t>
  </si>
  <si>
    <t>Conservation Physiology</t>
  </si>
  <si>
    <t>Siefkes, M.J.</t>
  </si>
  <si>
    <t>https://www.scopus.com/inward/record.uri?eid=2-s2.0-85033489102&amp;doi=10.1093%2fconphys%2fcox031&amp;partnerID=40&amp;md5=e77535dc29cfa782ab9c7583748f0fc7</t>
  </si>
  <si>
    <t>&lt;p&gt;Export Date: 27 January 2025; Cited By: 65&lt;/p&gt; | RAYYAN-INCLUSION: {"Isobel"=&gt;"Excluded"}</t>
  </si>
  <si>
    <t>10.1093/conphys/cox031</t>
  </si>
  <si>
    <t>Conservation physiology;Integrated pest management;Invasive species;Population control;Sea lamprey</t>
  </si>
  <si>
    <t>rayyan-153485881</t>
  </si>
  <si>
    <t>INHABIT: A web-based decision support tool for invasive plant species habitat visualization and assessment across the contiguous United States</t>
  </si>
  <si>
    <t>PLoS ONE</t>
  </si>
  <si>
    <t>Engelstad, P. and Jarnevich, C.S. and Hogan, T. and Sofaer, H.R. and Pearse, I.S. and Sieracki, J.L. and Frakes, N. and Sullivan, J. and Young, N.E. and PrevÃ©y, J.S. and Belamaric, P. and LaRoe, J.</t>
  </si>
  <si>
    <t>https://www.scopus.com/inward/record.uri?eid=2-s2.0-85124187431&amp;doi=10.1371%2fjournal.pone.0263056&amp;partnerID=40&amp;md5=5fcb688f97ee62fd59f871f7d58927a0</t>
  </si>
  <si>
    <t>10.1371/journal.pone.0263056</t>
  </si>
  <si>
    <t>article;classification;Conservation of Natural Resources;decision making;Decision Making;decision support system;Decision Support Techniques;ecosystem;Ecosystem;environmental protection;human;Internet;introduced species;Introduced Species;invasive species;manager;nonhuman;physiology;plant;plant dispersal;Plant Dispersal;Plants;prediction;procedures;software;Software;species distribution;species habitat;United States</t>
  </si>
  <si>
    <t>rayyan-153485882</t>
  </si>
  <si>
    <t>Communicating marine environmental information to decision makers: Enablers and barriers to use of publications (grey literature) of the Gulf of Maine Council on the Marine Environment</t>
  </si>
  <si>
    <t>163-172</t>
  </si>
  <si>
    <t>Cossarini, D.M. and MacDonald, B.H. and Wells, P.G.</t>
  </si>
  <si>
    <t>https://www.scopus.com/inward/record.uri?eid=2-s2.0-84902495684&amp;doi=10.1016%2fj.ocecoaman.2014.05.015&amp;partnerID=40&amp;md5=e5d85f2b08a8972ac55759b9d5d078a4</t>
  </si>
  <si>
    <t>&lt;p&gt;Export Date: 27 January 2025; Cited By: 40&lt;/p&gt; | RAYYAN-INCLUSION: {"Nibedita"=&gt;"Included", "Isobel"=&gt;"Included"}</t>
  </si>
  <si>
    <t>10.1016/j.ocecoaman.2014.05.015</t>
  </si>
  <si>
    <t>Atlantic Ocean;coastal zone management;decision making;Decision making;Environmental information;environmental issue;Environmental issues;Environmental management;Environmental managers;Environmental organizations;Environmental problems;governance approach;Gulf of Maine;Inter-governmental organization;intergovernmental relations;Internet;Publishing;Scientific information;Semi structured interviews</t>
  </si>
  <si>
    <t>rayyan-153485896</t>
  </si>
  <si>
    <t>Free Fallinâ€™? The decline in evidence-based decision-making by Canadaâ€™s protected areas managers</t>
  </si>
  <si>
    <t>Facets</t>
  </si>
  <si>
    <t>640-664</t>
  </si>
  <si>
    <t>Lemieux, C.J. and Halpenny, E.A. and Swerdfager, T. and He, M. and Joyce Gould, A. and Den Hoed, D.C. and Bueddefeld, J. and Hvenegaard, G.T. and Joubert, B. and Rollins, R.</t>
  </si>
  <si>
    <t>https://www.scopus.com/inward/record.uri?eid=2-s2.0-85106669494&amp;doi=10.1139%2fFACETS-2020-0085&amp;partnerID=40&amp;md5=6ed2270a026ef54b3e9bf8fb228def36</t>
  </si>
  <si>
    <t>&lt;p&gt;Export Date: 27 January 2025; Cited By: 13&lt;/p&gt; | RAYYAN-INCLUSION: {"Alice"=&gt;"Included"}</t>
  </si>
  <si>
    <t>10.1139/FACETS-2020-0085</t>
  </si>
  <si>
    <t>Biodiversity;Conservation;Decision-making;Evidence;Knowledge;Management</t>
  </si>
  <si>
    <t>rayyan-153485906</t>
  </si>
  <si>
    <t>A community psychology view of environmental organization processes</t>
  </si>
  <si>
    <t>American Journal of Community Psychology</t>
  </si>
  <si>
    <t>146-166</t>
  </si>
  <si>
    <t>Dean, J.H. and Bush, R.A.</t>
  </si>
  <si>
    <t>https://www.scopus.com/inward/record.uri?eid=2-s2.0-34547165911&amp;doi=10.1007%2fs10464-007-9123-2&amp;partnerID=40&amp;md5=30d6d2e6b3483e273584b8b270b861ab</t>
  </si>
  <si>
    <t>&lt;p&gt;Export Date: 27 January 2025; Cited By: 15&lt;/p&gt; | RAYYAN-INCLUSION: {"Iris"=&gt;"Excluded"}</t>
  </si>
  <si>
    <t>10.1007/s10464-007-9123-2</t>
  </si>
  <si>
    <t>article;Australia;Conservation of Natural Resources;consumer;Consumer Participation;Diversity;environmental health;Environmental Health;Environmental organizations;environmental protection;human;Humans;interview;Interviews;Multiple levels of analysis;psychological aspect;psychology;Psychology;Psychosocial processes;Queensland;Socially and ecologically sustainable futures</t>
  </si>
  <si>
    <t>rayyan-153485937</t>
  </si>
  <si>
    <t>Non-sectarian scenario experiments in socio-ecological knowledge building for multi-use marine environments: Insights from New Zealand's Marine Futures project</t>
  </si>
  <si>
    <t>Le Heron, R. and Lewis, N. and Fisher, K. and Thrush, S. and Lundquist, C. and Hewitt, J. and Ellis, J.</t>
  </si>
  <si>
    <t>https://www.scopus.com/inward/record.uri?eid=2-s2.0-84955451835&amp;doi=10.1016%2fj.marpol.2016.01.022&amp;partnerID=40&amp;md5=bf781a9bb8b74df5c3137b6eb7605d61</t>
  </si>
  <si>
    <t>&lt;p&gt;Export Date: 27 January 2025; Cited By: 27&lt;/p&gt; | RAYYAN-INCLUSION: {"Nibedita"=&gt;"Included", "Isobel"=&gt;"Included"}</t>
  </si>
  <si>
    <t>10.1016/j.marpol.2016.01.022</t>
  </si>
  <si>
    <t>Cumulative effects;Marine resource management;Multi-use marine environments;Non-sectarian scenario experiments;Socio-ecological knowledge;Trust</t>
  </si>
  <si>
    <t>rayyan-153485970</t>
  </si>
  <si>
    <t>Co-creating coastal sustainability goals and indicators</t>
  </si>
  <si>
    <t>Sustainability Science</t>
  </si>
  <si>
    <t>1327-1343</t>
  </si>
  <si>
    <t>Engen, S. and Hausner, V.H. and Mikkelsen, E. and Gundersen, H. and Christie, H. and Falk-Andersson, J. and Halpern, B.S. and Fauchald, P.</t>
  </si>
  <si>
    <t>https://www.scopus.com/inward/record.uri?eid=2-s2.0-85196712250&amp;doi=10.1007%2fs11625-024-01521-6&amp;partnerID=40&amp;md5=4d77a04a4053d2856e8fc6bc183c7926</t>
  </si>
  <si>
    <t>&lt;p&gt;Export Date: 27 January 2025; Cited By: 0&lt;/p&gt; | RAYYAN-INCLUSION: {"Philip"=&gt;"Excluded"}</t>
  </si>
  <si>
    <t>10.1007/s11625-024-01521-6</t>
  </si>
  <si>
    <t>Blue growth;Ecosystem services;Ocean health index;Public participation;Sustainability indicators;Sustainable development goals</t>
  </si>
  <si>
    <t>rayyan-153485979</t>
  </si>
  <si>
    <t>Collaboration and engagement produce more actionable science: quantitatively analyzing uptake of fish tracking studies</t>
  </si>
  <si>
    <t>Ecological Applications</t>
  </si>
  <si>
    <t>Nguyen, V.M. and Young, N. and Brownscombe, J.W. and Cooke, S.J.</t>
  </si>
  <si>
    <t>https://www.scopus.com/inward/record.uri?eid=2-s2.0-85070075857&amp;doi=10.1002%2feap.1943&amp;partnerID=40&amp;md5=72ea3bda848e8ed97ff31179fbdd0299</t>
  </si>
  <si>
    <t>&lt;p&gt;Export Date: 27 January 2025; Cited By: 30&lt;/p&gt; | RAYYAN-INCLUSION: {"Philip"=&gt;"Included", "Iris"=&gt;"Included", "Isobel"=&gt;"Included"}</t>
  </si>
  <si>
    <t>10.1002/eap.1943</t>
  </si>
  <si>
    <t>animal;Animals;attitude;Attitude;biotelemetry;conservation management;decision making;Decision Making;environmental management;fish;fish biotelemetry;fisheries;Fisheries;fishery;fishery management;fishery policy;Fishes;knowledge based system;knowledge co-production;knowledge exchange;knowledge mobilization;machine learning;methodology;networking;participatory approach;public outreach;quantitative evaluation;Research Design;research impact;science and technology;science communication;science policy;stakeholder;stakeholder engagement;tracking</t>
  </si>
  <si>
    <t>rayyan-153486006</t>
  </si>
  <si>
    <t>Perceptions of climate risk and use of climate risk information by natural resource conservation stakeholders participating in ADVANCE projects in Asia and Latin America</t>
  </si>
  <si>
    <t>Weather, Climate, and Society</t>
  </si>
  <si>
    <t>423-436</t>
  </si>
  <si>
    <t>De Mel, M. and Solecki, W. and Horton, R. and Bartlett, R. and Hehmeyer, A. and Martin, S. and Rosenzweig, C.</t>
  </si>
  <si>
    <t>https://www.scopus.com/inward/record.uri?eid=2-s2.0-85107550054&amp;doi=10.1175%2fWCAS-D-20-0010.1&amp;partnerID=40&amp;md5=138e2b965c33c60e19a08f7195938162</t>
  </si>
  <si>
    <t>&lt;p&gt;Export Date: 27 January 2025; Cited By: 1&lt;/p&gt; | RAYYAN-INCLUSION: {"Iris"=&gt;"Included"}</t>
  </si>
  <si>
    <t>10.1175/WCAS-D-20-0010.1</t>
  </si>
  <si>
    <t>Adaptation;Asia;climate change;Climate services;Communications/decision making;conservation status;decision making;Decision support;environmental hazard;human resource;integrated approach;Latin America;natural resource;perception;Planning;project assessment;risk assessment;Societal impacts;stakeholder;subtropical region</t>
  </si>
  <si>
    <t>rayyan-153486024</t>
  </si>
  <si>
    <t>Applying a values-based decision process to facilitate comanagement of threatened species in Aotearoa New Zealand</t>
  </si>
  <si>
    <t>1162-1173</t>
  </si>
  <si>
    <t>McMurdo Hamilton, T. and Canessa, S. and Clark, K. and Gleeson, P. and Mackenzie, F. and Makan, T. and Moses-Te Kani, G. and Oliver, S. and Parker, K.A. and Ewen, J.G.</t>
  </si>
  <si>
    <t>https://www.scopus.com/inward/record.uri?eid=2-s2.0-85104036826&amp;doi=10.1111%2fcobi.13651&amp;partnerID=40&amp;md5=c969c893b3744ab04fa08a36ed4f1576</t>
  </si>
  <si>
    <t>&lt;p&gt;Export Date: 27 January 2025; Cited By: 25&lt;/p&gt; | RAYYAN-INCLUSION: {"Alice"=&gt;"Excluded"}</t>
  </si>
  <si>
    <t>10.1111/cobi.13651</t>
  </si>
  <si>
    <t>animal;Animals;comanagement;Conservation of Natural Resources;conservation planning;decision making;endangered species;Endangered Species;environmental protection;especie en peligro;human;Humans;inclusiÃ³n;inclusivity;indigenous population;indigenous values;mÄtauranga MÄori;Mystacina tuberculata;Nereis;New Zealand;planeaciÃ³n de la conservaciÃ³n;population group;Population Groups;recuperaciÃ³n;species conservation;species recovery;Sterna nereis;structured decision making;toma estructurada de decisiones;valores indÃ­genas</t>
  </si>
  <si>
    <t>rayyan-153486034</t>
  </si>
  <si>
    <t>Exploring the science-policy interface for Integrated Coastal Management in New Zealand</t>
  </si>
  <si>
    <t>107-118</t>
  </si>
  <si>
    <t>Bremer, S. and Glavovic, B.</t>
  </si>
  <si>
    <t>https://www.scopus.com/inward/record.uri?eid=2-s2.0-84883365461&amp;doi=10.1016%2fj.ocecoaman.2013.08.008&amp;partnerID=40&amp;md5=f58c71c264e45bd0be0e0fb162027bce</t>
  </si>
  <si>
    <t>&lt;p&gt;Export Date: 27 January 2025; Cited By: 40&lt;/p&gt; | RAYYAN-INCLUSION: {"Tabitha"=&gt;"Included"}</t>
  </si>
  <si>
    <t>10.1016/j.ocecoaman.2013.08.008</t>
  </si>
  <si>
    <t>Coastal engineering;coastal zone management;comanagement;Conceptual frameworks;decision making;Decision making;Decision making process;Institutional barriers;integrated approach;Integrated coastal management;local government;marine policy;New Zealand;participatory approach;Participatory approach;Participatory process;Point of departures;Science-policy interface;traditional knowledge;Uncertainty analysis</t>
  </si>
  <si>
    <t>rayyan-153486042</t>
  </si>
  <si>
    <t>From science to action: Principles for undertaking environmental research that enables knowledge exchange and evidence-based decision-making</t>
  </si>
  <si>
    <t>864-874</t>
  </si>
  <si>
    <t>Cvitanovic, C. and McDonald, J. and Hobday, A.J.</t>
  </si>
  <si>
    <t>https://www.scopus.com/inward/record.uri?eid=2-s2.0-84992077629&amp;doi=10.1016%2fj.jenvman.2016.09.038&amp;partnerID=40&amp;md5=7deab20616f7858d889c618b29f2254b</t>
  </si>
  <si>
    <t>&lt;p&gt;Export Date: 27 January 2025; Cited By: 253&lt;/p&gt; | RAYYAN-INCLUSION: {"Elina"=&gt;"Included", "Iris"=&gt;"Included"}</t>
  </si>
  <si>
    <t>10.1016/j.jenvman.2016.09.038</t>
  </si>
  <si>
    <t>applied research;Australia;Conservation of Natural Resources;Core capacities;Core capacity;Decision makers;decision making;Decision making;Decision Making;environment;Environment;environmental protection;environmental research;evidence based practice center;Evidence- based decisions;human;Humans;institutional framework;knowledge;Knowledge;Knowledge based systems;Knowledge broker;Knowledge brokers;Knowledge exchange;knowledge management;Knowledge management;leadership;Leadership;manager;Mapping;methodology;Ningaloo;Ningaloo Marine Park;participatory approach;participatory research;Participatory research;Research Design;Research programs;scientist;stakeholder;Stakeholder mapping;Stakeholder mappings;traditional knowledge;Western Australia</t>
  </si>
  <si>
    <t>rayyan-153486048</t>
  </si>
  <si>
    <t>How to be a more effective environmental scientist in management and policy contexts</t>
  </si>
  <si>
    <t>171-176</t>
  </si>
  <si>
    <t>FernÃ¡ndez, R.J.</t>
  </si>
  <si>
    <t>https://www.scopus.com/inward/record.uri?eid=2-s2.0-84978641585&amp;doi=10.1016%2fj.envsci.2016.07.006&amp;partnerID=40&amp;md5=76f36b4921ff9f1c05f65a0cff33a03e</t>
  </si>
  <si>
    <t>&lt;p&gt;Export Date: 27 January 2025; Cited By: 48&lt;/p&gt; | RAYYAN-INCLUSION: {"Iris"=&gt;"Excluded"}</t>
  </si>
  <si>
    <t>10.1016/j.envsci.2016.07.006</t>
  </si>
  <si>
    <t>Article;book;decision making;ecology;Ecology;Environmental literacy;environmental management;environmental planning;environmental protection;Evidence-based policy;human;Information-deficit model;interpersonal communication;knowledge base;knowledge management;perception;politics;priority journal;professional competence;progeny;Science and technology studies;Science-policy interface;scientist;social participation;statistical model</t>
  </si>
  <si>
    <t>rayyan-153486081</t>
  </si>
  <si>
    <t>Science-seeking behaviour of conservation authorities in Ontario</t>
  </si>
  <si>
    <t>912-921</t>
  </si>
  <si>
    <t>Sheikheldin, G. and Krantzberg, G. and Schaefer, K.</t>
  </si>
  <si>
    <t>https://www.scopus.com/inward/record.uri?eid=2-s2.0-77952878801&amp;doi=10.1007%2fs00267-010-9463-9&amp;partnerID=40&amp;md5=4a8bb195efabc56b8da6a3075c6d13b0</t>
  </si>
  <si>
    <t>&lt;p&gt;Export Date: 27 January 2025; Cited By: 9&lt;/p&gt; | RAYYAN-INCLUSION: {"Aidan"=&gt;"Excluded"}</t>
  </si>
  <si>
    <t>10.1007/s00267-010-9463-9</t>
  </si>
  <si>
    <t>article;Biological Science Disciplines;Canada;communication;Communication;Conservation authorities;conservation management;Conservation of Natural Resources;Cooperative Behavior;decision making;Decision Making;environmental management;environmental policy;environmental protection;government;information management;information system;Interdisciplinary Communication;knowledge;Knowledge Bases;Knowledge brokering;Knowledge translation;medical research;Ontario;Ontario [Canada];Personal communications;policy;Policy Making;science and technology;Science needs;Science-policy linkages;Source water protection;water management;water planning;Water resource planning;Water resources;workshop</t>
  </si>
  <si>
    <t>rayyan-153486127</t>
  </si>
  <si>
    <t>Knowledge-based systems as decision support tools in an ecosystem approach to fisheries: Comparing a fuzzy-logic and a rule-based approach</t>
  </si>
  <si>
    <t>Progress in Oceanography</t>
  </si>
  <si>
    <t>390-400</t>
  </si>
  <si>
    <t>Jarre, A. and Paterson, B. and Moloney, C.L. and Miller, D.C.M. and Field, J.G. and Starfield, A.M.</t>
  </si>
  <si>
    <t>https://www.scopus.com/inward/record.uri?eid=2-s2.0-56349172164&amp;doi=10.1016%2fj.pocean.2008.10.010&amp;partnerID=40&amp;md5=642b03f1f2a1ebba96f962d41e600a3d</t>
  </si>
  <si>
    <t>&lt;p&gt;Export Date: 27 January 2025; Cited By: 33&lt;/p&gt; | RAYYAN-INCLUSION: {"Aidan"=&gt;"Excluded"}</t>
  </si>
  <si>
    <t>10.1016/j.pocean.2008.10.010</t>
  </si>
  <si>
    <t>Administrative data processing;Africa;Angola;Benguela;clupeoid;Crisp logic;Decision support;decision support system;Decision support systems;Ecology;Ecosystem approach to fisheries;ecosystem management;Ecosystems;Electric furnace process;Electric furnaces;Engraulidae;Expert system;Expert systems;Fisheries;fishery management;Fuzzy logic;fuzzy mathematics;Fuzzy sets;Ketones;Knowledge based systems;pelagic ecosystem;Pelagic ecosystem;Problem solving;Rule-based;Set theory;Southern Africa;Southern Benguela;Sub-Saharan Africa</t>
  </si>
  <si>
    <t>rayyan-153486128</t>
  </si>
  <si>
    <t>Achieving social and ecological outcomes in collaborative environmental governance: Good examples from swedish moose management</t>
  </si>
  <si>
    <t>Dressel, S. and SjÃ¶lander-Lindqvist, A. and Johansson, M. and Ericsson, G. and SandstrÃ¶m, C.</t>
  </si>
  <si>
    <t>https://www.scopus.com/inward/record.uri?eid=2-s2.0-85101944803&amp;doi=10.3390%2fsu13042329&amp;partnerID=40&amp;md5=69762cb1959e7c12333aeaaa0cf9f368</t>
  </si>
  <si>
    <t>&lt;p&gt;Export Date: 27 January 2025; Cited By: 11&lt;/p&gt; | RAYYAN-INCLUSION: {"Isobel"=&gt;"Included"}</t>
  </si>
  <si>
    <t>10.3390/su13042329</t>
  </si>
  <si>
    <t>Adaptive management;Alces alces;Collaboration dynamics;Collaborative governance regime;conservation management;deer;environmental management;governance approach;Institutional flexibility;Leadership;Multi-level governance;natural resource;policy implementation;resource management;social capital;Social capital;Social learning;stakeholder;strategic approach;sustainability;Sweden</t>
  </si>
  <si>
    <t>rayyan-153486137</t>
  </si>
  <si>
    <t>A tale of urban forest patch governance in four eastern US cities</t>
  </si>
  <si>
    <t>Urban Forestry and Urban Greening</t>
  </si>
  <si>
    <t>Morzillo, A.T. and Campbell, L.K. and King, K.L. and Lautar, K.J. and Scott, L. and Johnson, M.L. and Clarke, M. and Rhodes, L. and Pincetl, S. and Sonti, N.F. and Locke, D.H. and Schmit, J.P. and Fahey, R.T. and Baker, M.E. and Darling, L. and Johnson, L.R.</t>
  </si>
  <si>
    <t>https://www.scopus.com/inward/record.uri?eid=2-s2.0-85135703256&amp;doi=10.1016%2fj.ufug.2022.127693&amp;partnerID=40&amp;md5=ca470c89abc60b9a55eb4cb8731f17b4</t>
  </si>
  <si>
    <t>&lt;p&gt;Export Date: 27 January 2025; Cited By: 9&lt;/p&gt; | RAYYAN-INCLUSION: {"Philip"=&gt;"Excluded", "Aidan"=&gt;"Excluded"}</t>
  </si>
  <si>
    <t>10.1016/j.ufug.2022.127693</t>
  </si>
  <si>
    <t>adaptation;Baltimore;Chicago;conservation management;forest management;Forest patch;governance approach;Illinois;knowledge;Maryland;New York [New York (STT)];New York [United States];Pennsylvania;Philadelphia;United States;urban ecosystem;Urban ecosystems;Urban forest;Urban forest governance;Urban forest management, urban forest patch;urban forestry</t>
  </si>
  <si>
    <t>rayyan-153486146</t>
  </si>
  <si>
    <t>Linking risk factors to risk treatment in ecological risk assessment of marine biodiversity</t>
  </si>
  <si>
    <t>1116-1132</t>
  </si>
  <si>
    <t>Astles, K.L.</t>
  </si>
  <si>
    <t>https://www.scopus.com/inward/record.uri?eid=2-s2.0-84925655110&amp;doi=10.1093%2ficesjms%2ffsu207&amp;partnerID=40&amp;md5=2b1ca3a4041a3645be8b5be71342dd41</t>
  </si>
  <si>
    <t>&lt;p&gt;Export Date: 27 January 2025; Cited By: 19&lt;/p&gt; | RAYYAN-INCLUSION: {"Alice"=&gt;"Excluded"}</t>
  </si>
  <si>
    <t>10.1093/icesjms/fsu207</t>
  </si>
  <si>
    <t>biodiversity;decision making;Ecological risk assessment;ecosystem management;environmental impact assessment;estuarine ecosystem;human activity;Marine ecosystem-based management;prioritization;risk assessment;risk factor;Risk factor;Risk treatment;Small scale;urban region</t>
  </si>
  <si>
    <t>rayyan-153486183</t>
  </si>
  <si>
    <t>Spatial Access Priority Mapping (SAPM) with Fishers: A Quantitative GIS Method for Participatory Planning</t>
  </si>
  <si>
    <t>Yates, K.L. and Schoeman, D.S.</t>
  </si>
  <si>
    <t>https://www.scopus.com/inward/record.uri?eid=2-s2.0-84880449000&amp;doi=10.1371%2fjournal.pone.0068424&amp;partnerID=40&amp;md5=87fc7b3ef8ca25fbb9d5f5bff594800a</t>
  </si>
  <si>
    <t>&lt;p&gt;Export Date: 27 January 2025; Cited By: 49&lt;/p&gt; | RAYYAN-INCLUSION: {"Philip"=&gt;"Excluded", "Alice"=&gt;"Included"}</t>
  </si>
  <si>
    <t>10.1371/journal.pone.0068424</t>
  </si>
  <si>
    <t>article;computer program;Conservation of Natural Resources;decision making;environmental protection;Fisheries;fisherman;Geographic Information Systems;human;Humans;Ireland;knowledge;marine environment;participatory management;quantitative analysis;remote sensing;Spatial Access Priority Mapping</t>
  </si>
  <si>
    <t>rayyan-153486190</t>
  </si>
  <si>
    <t>Knowing and managing biodiversity in the Pacific Islands: Challenges of environmentalism in Marovo Lagoon</t>
  </si>
  <si>
    <t>International Social Science Journal</t>
  </si>
  <si>
    <t>69-85</t>
  </si>
  <si>
    <t>Hviding, E.</t>
  </si>
  <si>
    <t>https://www.scopus.com/inward/record.uri?eid=2-s2.0-33845691409&amp;doi=10.1111%2fj.1468-2451.2006.00602.x&amp;partnerID=40&amp;md5=14fa96e48f37745bcc64a4655df47a06</t>
  </si>
  <si>
    <t>&lt;p&gt;Export Date: 27 January 2025; Cited By: 29&lt;/p&gt; | RAYYAN-INCLUSION: {"Alec"=&gt;"Excluded"}</t>
  </si>
  <si>
    <t>10.1111/j.1468-2451.2006.00602.x</t>
  </si>
  <si>
    <t>biodiversity;environmental management;environmentalism;local planning;Marovo Lagoon;Melanesia;New Georgia;Pacific islands;Pacific Ocean;Solomon Islands [(ISG) Melanesia];Solomon Islands [Solomon Islands (ISG)];traditional knowledge</t>
  </si>
  <si>
    <t>rayyan-153486200</t>
  </si>
  <si>
    <t>A typology of barriers and enablers of scientific evidence use in conservation practice</t>
  </si>
  <si>
    <t>Walsh, J.C. and Dicks, L.V. and Raymond, C.M. and Sutherland, W.J.</t>
  </si>
  <si>
    <t>https://www.scopus.com/inward/record.uri?eid=2-s2.0-85071945446&amp;doi=10.1016%2fj.jenvman.2019.109481&amp;partnerID=40&amp;md5=a69bae483cf9e1896791d6c136b37d67</t>
  </si>
  <si>
    <t>&lt;p&gt;Export Date: 27 January 2025; Cited By: 90&lt;/p&gt; | RAYYAN-INCLUSION: {"Nibedita"=&gt;"Included", "Isobel"=&gt;"Included"}</t>
  </si>
  <si>
    <t>10.1016/j.jenvman.2019.109481</t>
  </si>
  <si>
    <t>article;attitudinal survey;Conservation;conservation management;Conservation practices;decision making;Decision making;Decision Making;environmental decision making;Environmental decision making;environmental planning;Evidence-based;Evidence-based conservation;guideline;Health care;human;implementation process;interview;knowledge;Knowledge;knowledge based system;Knowledge exchange;Knowledge management;Knowledge-action;management practice;organization;organizational framework;organizational structure;Organizations;physician;public attitude;Research implementation;Research use;Science-practice;Scientific evidence;South Africa;Taxonomies;taxonomy;typology;United Kingdom</t>
  </si>
  <si>
    <t>rayyan-153486201</t>
  </si>
  <si>
    <t>Multiple traps of scientific knowledge transfer: Comparative case studies based on the RIU model from Vietnam, Germany, Indonesia, Japan, and Sweden</t>
  </si>
  <si>
    <t>Do, T.H. and Krott, M. and BÃ¶cher, M.</t>
  </si>
  <si>
    <t>https://www.scopus.com/inward/record.uri?eid=2-s2.0-85081258671&amp;doi=10.1016%2fj.forpol.2020.102134&amp;partnerID=40&amp;md5=ffa839ca08fcf71bbdaa1484ec2848e5</t>
  </si>
  <si>
    <t>&lt;p&gt;Export Date: 27 January 2025; Cited By: 19&lt;/p&gt; | RAYYAN-INCLUSION: {"Tabitha"=&gt;"Excluded"}</t>
  </si>
  <si>
    <t>10.1016/j.forpol.2020.102134</t>
  </si>
  <si>
    <t>Biodiversity;Biodiversity conservation;Climate change;Conservation;Individual factors;Integration;Knowledge management;Knowledge transfer;Multiple factors;Multiple trap;Multiple traps;Processes;Research;RIU model;Science-based policy support;Science-policy Interface;Scientific basis;Scientific expertise;Scientific knowledge;Scientific knowledge transfer;Transfer;Traps;Utilization</t>
  </si>
  <si>
    <t>rayyan-153486230</t>
  </si>
  <si>
    <t>How Community-Based Rangeland Management Achieves Positive Social Outcomes In Mongolia: A Moderated Mediation Analysis</t>
  </si>
  <si>
    <t>93-104</t>
  </si>
  <si>
    <t>Ulambayar, T. and FernÃ¡ndez-GimÃ©nez, M.E.</t>
  </si>
  <si>
    <t>https://www.scopus.com/inward/record.uri?eid=2-s2.0-85057617253&amp;doi=10.1016%2fj.landusepol.2018.11.008&amp;partnerID=40&amp;md5=0e137d2a73f3752e1b56ed93d093a008</t>
  </si>
  <si>
    <t>&lt;p&gt;Export Date: 27 January 2025; Cited By: 26&lt;/p&gt; | RAYYAN-INCLUSION: {"Alice"=&gt;"Excluded"}</t>
  </si>
  <si>
    <t>10.1016/j.landusepol.2018.11.008</t>
  </si>
  <si>
    <t>collaborative conservation;common pool resources;community resource management;community-based natural resource management;conditional process analysis;conservation;conservation effects assessment;extensive livestock production;livestock farming;Mongolia;pastoral institutions;pastoralism;policy development;rangeland;social capital;social network</t>
  </si>
  <si>
    <t>rayyan-153486237</t>
  </si>
  <si>
    <t>The role of decision support systems (DSS) in planning for improved water quality in Coastal Lakes</t>
  </si>
  <si>
    <t>Decision Support Systems in Agriculture, Food and the Environment: Trends, Applications and Advances</t>
  </si>
  <si>
    <t>47-73</t>
  </si>
  <si>
    <t>Kelly, R.A. and Merritt, W.S.</t>
  </si>
  <si>
    <t>https://www.scopus.com/inward/record.uri?eid=2-s2.0-84855479774&amp;doi=10.4018%2f978-1-61520-881-4.ch003&amp;partnerID=40&amp;md5=a5a149b33d7f6da2d2025bf82d5cb564</t>
  </si>
  <si>
    <t>&lt;p&gt;Export Date: 27 January 2025; Cited By: 4&lt;/p&gt; | RAYYAN-INCLUSION: {"Aidan"=&gt;"Excluded"}</t>
  </si>
  <si>
    <t>rayyan-153486240</t>
  </si>
  <si>
    <t>An internet-accessible knowledge system on spatial evaluation of the habitat of meadow birds</t>
  </si>
  <si>
    <t>18th World IMACS Congress and MODSIM 2009 - International Congress on Modelling and Simulation: Interfacing Modelling and Simulation with Mathematical and Computational Sciences, Proceedings</t>
  </si>
  <si>
    <t>1993-1999</t>
  </si>
  <si>
    <t>Schotman, A.G.M. and Vanmeulebrouk, B. and Melman, T.C.P. and Roosenschoon, O.R. and Meeuwsen, H.A.M. and Kiers, M.A. and Hoek, S.B.</t>
  </si>
  <si>
    <t>https://www.scopus.com/inward/record.uri?eid=2-s2.0-85086275539&amp;partnerID=40&amp;md5=e10d10777518656ff928d706cbf4952c</t>
  </si>
  <si>
    <t>&lt;p&gt;Export Date: 27 January 2025; Cited By: 0&lt;/p&gt; | RAYYAN-INCLUSION: {"Aidan"=&gt;"Excluded"}</t>
  </si>
  <si>
    <t>Agricultural productions;Agricultural robots;Agriculture;Application programs;Biodiversity;Birds;Black-tailed godwit;Conservation;Ecosystems;Effective management;Environmental management;Environmental modelling;Fully operational;Geographic information systems;GIS;Human resource management;Management scheme;Number of components;Open source software;Scientific researches;Spatial evaluations;Spatially explicit modeling;Species protection;User interfaces;Websites</t>
  </si>
  <si>
    <t>rayyan-153486288</t>
  </si>
  <si>
    <t>Risks for Knowledge-Uptake in Dutch Marine Spatial Planning: Incompatibilities Between Research and Policy-Making</t>
  </si>
  <si>
    <t>Proceedings of the European Conference on Knowledge Management, ECKM</t>
  </si>
  <si>
    <t>302-309</t>
  </si>
  <si>
    <t>de Vries, J. and Spijkerboer, R. and Zuidema, C.</t>
  </si>
  <si>
    <t>https://www.scopus.com/inward/record.uri?eid=2-s2.0-85177853842&amp;partnerID=40&amp;md5=ee7879d2fc64d1dca215c39b3cee5827</t>
  </si>
  <si>
    <t>&lt;p&gt;Export Date: 27 January 2025; Cited By: 0&lt;/p&gt; | RAYYAN-INCLUSION: {"Philip"=&gt;"Included", "Tabitha"=&gt;"Included", "Prishnee"=&gt;"Included", "Valentin"=&gt;"Excluded", "fereshteh"=&gt;"Excluded", "Aidan"=&gt;"Included", "Nibedita"=&gt;"Excluded", "Isobel"=&gt;"Excluded"}</t>
  </si>
  <si>
    <t>Decision making;Ecology;Electric utilities;Knowledge management;Knowledge management theories;Knowledge uptake;Marine Spatial Planning;Marine spatial planning (MSP);North Sea;Offshore oil well production;Offshore wind farm governance (OWF);Offshore wind farm governance (OWFs);Offshore wind farms;Policy makers;Policy making;Public policy;Science-policy interface;Wind farm development</t>
  </si>
  <si>
    <t>rayyan-153486335</t>
  </si>
  <si>
    <t>A Call for Evidence-Based Conservation and Management of Fisheries and Aquatic Resources</t>
  </si>
  <si>
    <t>143-149</t>
  </si>
  <si>
    <t>Cooke, S.J. and Wesch, S. and Donaldson, L.A. and Wilson, A.D.M. and Haddaway, N.R.</t>
  </si>
  <si>
    <t>https://www.scopus.com/inward/record.uri?eid=2-s2.0-85014903431&amp;doi=10.1080%2f03632415.2017.1276343&amp;partnerID=40&amp;md5=5f74ead3d28ff0cb87a4cd14254fab55</t>
  </si>
  <si>
    <t>&lt;p&gt;Export Date: 27 January 2025; Cited By: 34&lt;/p&gt; | RAYYAN-INCLUSION: {"Sarah"=&gt;"Excluded"}</t>
  </si>
  <si>
    <t>10.1080/03632415.2017.1276343</t>
  </si>
  <si>
    <t>rayyan-153486342</t>
  </si>
  <si>
    <t>Multi-stakeholder perspectives on the use and influence of "grey" scientific information in fisheries management</t>
  </si>
  <si>
    <t>50-62</t>
  </si>
  <si>
    <t>Soomai, S.S. and Wells, P.G. and MacDonald, B.H.</t>
  </si>
  <si>
    <t>https://www.scopus.com/inward/record.uri?eid=2-s2.0-77956896658&amp;doi=10.1016%2fj.marpol.2010.07.006&amp;partnerID=40&amp;md5=ff137b008a7c522adfdf817bf1ccc203</t>
  </si>
  <si>
    <t>&lt;p&gt;Export Date: 27 January 2025; Cited By: 20&lt;/p&gt; | RAYYAN-INCLUSION: {"Isobel"=&gt;"Included"}</t>
  </si>
  <si>
    <t>10.1016/j.marpol.2010.07.006</t>
  </si>
  <si>
    <t>Brazil-Guianas continental shelf;continental shelf;Decapoda (Crustacea);decision making;Fisheries management;fishery management;Grey literature;information management;Information management;Scientific information use and influence;Shrimp and groundfish fisheries;shrimp fishery;stakeholder;Trinidad and Tobago</t>
  </si>
  <si>
    <t>rayyan-153486343</t>
  </si>
  <si>
    <t>Tracking the influence of grey literature in public policy contexts: The necessity and benefit of interdisciplinary research</t>
  </si>
  <si>
    <t>GL-Conference Series: Conference Proceedings</t>
  </si>
  <si>
    <t>58-65</t>
  </si>
  <si>
    <t>MacDonald, B.H. and De Santo, E.M. and Quigley, K. and Soomai, S.S. and Wells, P.G.</t>
  </si>
  <si>
    <t>https://www.scopus.com/inward/record.uri?eid=2-s2.0-84924125712&amp;partnerID=40&amp;md5=38116fd368498ed090fc79b874e4970e</t>
  </si>
  <si>
    <t>&lt;p&gt;Export Date: 27 January 2025; Cited By: 2&lt;/p&gt; | RAYYAN-INCLUSION: {"Sarah"=&gt;"Excluded"}</t>
  </si>
  <si>
    <t>Decision making;Decision making process;Environmental fields;Environmental protection;Environmental science;Global environmental problems;Interdisciplinary research;Life cycle;Public policy;Research and development management;Research methodologies;Science - policy interfaces;Scientific information</t>
  </si>
  <si>
    <t>rayyan-153486344</t>
  </si>
  <si>
    <t>Understanding the science-policy interface: Case studies on the role of information in fisheries management</t>
  </si>
  <si>
    <t>65-75</t>
  </si>
  <si>
    <t>Soomai, S.</t>
  </si>
  <si>
    <t>https://www.scopus.com/inward/record.uri?eid=2-s2.0-85016155581&amp;doi=10.1016%2fj.envsci.2017.03.004&amp;partnerID=40&amp;md5=cdc7cca6b6d5489d2511b6e7b7e9a989</t>
  </si>
  <si>
    <t>&lt;p&gt;Export Date: 27 January 2025; Cited By: 33&lt;/p&gt; | RAYYAN-INCLUSION: {"Isobel"=&gt;"Included"}</t>
  </si>
  <si>
    <t>10.1016/j.envsci.2017.03.004</t>
  </si>
  <si>
    <t>Article;case study;decision making;Decision-making;Environmental governance;fishery management;human;information;information system;Information use;management;Marine fisheries management;organizational structure;priority journal;Science-policy interface;Scientific communication</t>
  </si>
  <si>
    <t>rayyan-153486345</t>
  </si>
  <si>
    <t>What is needed to implement a sustainable expansion of the Antarctic krill fishery in the Southern Ocean?</t>
  </si>
  <si>
    <t>Trathan, P.N.</t>
  </si>
  <si>
    <t>https://www.scopus.com/inward/record.uri?eid=2-s2.0-85165235695&amp;doi=10.1016%2fj.marpol.2023.105770&amp;partnerID=40&amp;md5=9bbb1d6b168c0dfeca453c6e6a528561</t>
  </si>
  <si>
    <t>&lt;p&gt;Export Date: 27 January 2025; Cited By: 8&lt;/p&gt; | RAYYAN-INCLUSION: {"Sarah"=&gt;"Excluded"}</t>
  </si>
  <si>
    <t>10.1016/j.marpol.2023.105770</t>
  </si>
  <si>
    <t>biodiversity;CCAMLR;climate change;Climate change;crustacean;decision making;Decision-making;ecological impact;Ecosystem monitoring;ecosystem resilience;fishery management;Krill fishery management;Marine Protected Areas;protected area;Southern Ocean</t>
  </si>
  <si>
    <t>rayyan-153486347</t>
  </si>
  <si>
    <t>Untimely publications: Delayed Canadian fisheries science advice limits transparency of decision-making</t>
  </si>
  <si>
    <t>Archibald, D.W. and McIver, R. and Rangeley, R.</t>
  </si>
  <si>
    <t>https://www.scopus.com/inward/record.uri?eid=2-s2.0-85111315904&amp;doi=10.1016%2fj.marpol.2021.104690&amp;partnerID=40&amp;md5=78da72c5dfd59f51e007d3a576012246</t>
  </si>
  <si>
    <t>&lt;p&gt;Export Date: 27 January 2025; Cited By: 7&lt;/p&gt; | RAYYAN-INCLUSION: {"Alec"=&gt;"Included"}</t>
  </si>
  <si>
    <t>10.1016/j.marpol.2021.104690</t>
  </si>
  <si>
    <t>Canada;capture method;decision making;Decision-making;Fisheries management;fishery management;governance approach;policy implementation;Public policy;public sector;Science advice;Scientific communication;Transparency</t>
  </si>
  <si>
    <t>rayyan-153486350</t>
  </si>
  <si>
    <t>Balancing community autonomy with collective identity: Mi'kmaq decision-making in Nova Scotia</t>
  </si>
  <si>
    <t>Canadian Journal of Native Studies</t>
  </si>
  <si>
    <t>81-106</t>
  </si>
  <si>
    <t>Denny, S. and Fanning, L.</t>
  </si>
  <si>
    <t>https://www.scopus.com/inward/record.uri?eid=2-s2.0-85033576872&amp;partnerID=40&amp;md5=a89e572680491a5a5fa429054fc39206</t>
  </si>
  <si>
    <t>&lt;p&gt;Export Date: 27 January 2025; Cited By: 8&lt;/p&gt; | RAYYAN-INCLUSION: {"Sarah"=&gt;"Included"}</t>
  </si>
  <si>
    <t>rayyan-153486356</t>
  </si>
  <si>
    <t>Closing the knowing-doing gap in invasive plant management: Accessibility and interdisciplinarity of scientific research</t>
  </si>
  <si>
    <t>208-215</t>
  </si>
  <si>
    <t>Matzek, V. and Covino, J. and Funk, J.L. and Saunders, M.</t>
  </si>
  <si>
    <t>https://www.scopus.com/inward/record.uri?eid=2-s2.0-84901652502&amp;doi=10.1111%2fconl.12042&amp;partnerID=40&amp;md5=a44c8db90b08d129e3812c70e00f3a93</t>
  </si>
  <si>
    <t>&lt;p&gt;Export Date: 27 January 2025; Cited By: 110&lt;/p&gt; | RAYYAN-INCLUSION: {"Sarah"=&gt;"Included"}</t>
  </si>
  <si>
    <t>10.1111/conl.12042</t>
  </si>
  <si>
    <t>Ecosystem management;Interdisciplinary;Invasive species;Managers;Practitioners;Research-implementation gap;Restoration</t>
  </si>
  <si>
    <t>rayyan-153486357</t>
  </si>
  <si>
    <t>Bridging the research-implementation gap requires engagement from practitioners</t>
  </si>
  <si>
    <t>Dubois, N.S. and Gomez, A. and Carlson, S. and Russell, D.</t>
  </si>
  <si>
    <t>https://www.scopus.com/inward/record.uri?eid=2-s2.0-85096779281&amp;doi=10.1111%2fcsp2.134&amp;partnerID=40&amp;md5=e6057b00a447d727bf7845eae3221bc9</t>
  </si>
  <si>
    <t>&lt;p&gt;Export Date: 27 January 2025; Cited By: 56&lt;/p&gt; | RAYYAN-INCLUSION: {"Iris"=&gt;"Excluded"}</t>
  </si>
  <si>
    <t>10.1111/csp2.134</t>
  </si>
  <si>
    <t>adaptive management;decision making;effectiveness;evidence-based practice;knowing-doing gap;knowledge mobilization;research utilization</t>
  </si>
  <si>
    <t>rayyan-153486358</t>
  </si>
  <si>
    <t>Measuring, mapping and quantifying the effects of trust and informal communication on transboundary collaboration in the Great Lakes fisheries policy network</t>
  </si>
  <si>
    <t>Global Environmental Change</t>
  </si>
  <si>
    <t>Song, A.M. and Temby, O. and Kim, D. and Saavedra Cisneros, A. and Hickey, G.M.</t>
  </si>
  <si>
    <t>https://www.scopus.com/inward/record.uri?eid=2-s2.0-85056801130&amp;doi=10.1016%2fj.gloenvcha.2018.11.001&amp;partnerID=40&amp;md5=eeb9900e2468029eaf2a444d6ab28404</t>
  </si>
  <si>
    <t>&lt;p&gt;Export Date: 27 January 2025; Cited By: 45&lt;/p&gt; | RAYYAN-INCLUSION: {"Sarah"=&gt;"Excluded"}</t>
  </si>
  <si>
    <t>10.1016/j.gloenvcha.2018.11.001</t>
  </si>
  <si>
    <t>Canada;decision making;ecosystem management;Ecosystem-based management;environmental management;Fisheries governance;fishery;Great Lakes [North America];information and communication technology;mapping;measurement method;natural resource;policy approach;Policy network;public administration;Public administration;resource management;transboundary cooperation;United States;USA</t>
  </si>
  <si>
    <t>rayyan-153486360</t>
  </si>
  <si>
    <t>Inclusive and evidence-based decision-making in CCAMLR: a basis for ensuring compliance?</t>
  </si>
  <si>
    <t>Governing Marine Living Resources in the Polar Regions: New Horizons in Environmental and Energy Law Series</t>
  </si>
  <si>
    <t>66-90</t>
  </si>
  <si>
    <t>Vanstappen, N.</t>
  </si>
  <si>
    <t>https://www.scopus.com/inward/record.uri?eid=2-s2.0-85137468660&amp;doi=10.4337%2f9781788977432.00013&amp;partnerID=40&amp;md5=ac08ab9a4ce5ae33278e4996cabfb802</t>
  </si>
  <si>
    <t>rayyan-153486364</t>
  </si>
  <si>
    <t>Research funding and economic aspects of the Antarctic krill fishery</t>
  </si>
  <si>
    <t>Cappell, R. and MacFadyen, G. and Constable, A.</t>
  </si>
  <si>
    <t>https://www.scopus.com/inward/record.uri?eid=2-s2.0-85134325325&amp;doi=10.1016%2fj.marpol.2022.105200&amp;partnerID=40&amp;md5=fb7328ac9c76f41f83d46c4f9f5c4dd5</t>
  </si>
  <si>
    <t>&lt;p&gt;Export Date: 27 January 2025; Cited By: 8&lt;/p&gt; | RAYYAN-INCLUSION: {"Philip"=&gt;"Excluded", "Iris"=&gt;"Excluded", "Isobel"=&gt;"Excluded"}</t>
  </si>
  <si>
    <t>10.1016/j.marpol.2022.105200</t>
  </si>
  <si>
    <t>Antarctic;CCAMLR;decision making;Economics;finance;Fishery;fishery economics;Funding;Krill;Research;research work;Southern Ocean</t>
  </si>
  <si>
    <t>rayyan-153486365</t>
  </si>
  <si>
    <t>Normative science</t>
  </si>
  <si>
    <t>Energy and Environment</t>
  </si>
  <si>
    <t>127-130</t>
  </si>
  <si>
    <t>Lackey, R.T.</t>
  </si>
  <si>
    <t>https://www.scopus.com/inward/record.uri?eid=2-s2.0-13944254405&amp;doi=10.1260%2f0958305053516181&amp;partnerID=40&amp;md5=a08f50ad819e60d520e64a4a059b7bfa</t>
  </si>
  <si>
    <t>&lt;p&gt;Export Date: 27 January 2025; Cited By: 0&lt;/p&gt; | RAYYAN-INCLUSION: {"Tabitha"=&gt;"Excluded", "Elina"=&gt;"Excluded"}</t>
  </si>
  <si>
    <t>10.1260/0958305053516181</t>
  </si>
  <si>
    <t>Decision making;Fisheries;Fisheries policy;fishery policy;Information analysis;information management;policy making;Public policy;Scientific enterprises;Scientific information</t>
  </si>
  <si>
    <t>rayyan-153486366</t>
  </si>
  <si>
    <t>Uneasy bedfellows: Fisheries and the search for space for marine conservation zones in english waters</t>
  </si>
  <si>
    <t>Marine Protected Areas: Science, Policy and Management</t>
  </si>
  <si>
    <t>99-112</t>
  </si>
  <si>
    <t>Rodmell, D.P. and Caveen, A.J. and Johnson, M.L.</t>
  </si>
  <si>
    <t>https://www.scopus.com/inward/record.uri?eid=2-s2.0-85080806589&amp;doi=10.1016%2fB978-0-08-102698-4.00005-8&amp;partnerID=40&amp;md5=70d2c7b5eb2d6213ecb5cafb016037b0</t>
  </si>
  <si>
    <t>Biodiversity conservation;Displacement;Ecologically coherent network;Fisheries;Marine and Coastal Access Act;Marine conservation zones;Marine protected areas;Science-policy frameworks;Stakeholder participation</t>
  </si>
  <si>
    <t>rayyan-153486370</t>
  </si>
  <si>
    <t>Scientific Advice for Fisheries Management in West Africa in the Context of Global Change</t>
  </si>
  <si>
    <t>World Fisheries: A Social-Ecological Analysis</t>
  </si>
  <si>
    <t>151-167</t>
  </si>
  <si>
    <t>Masumbuko, B. and BÃ¢, M. and Morand, P. and Chavance, P. and Failler, P.</t>
  </si>
  <si>
    <t>https://www.scopus.com/inward/record.uri?eid=2-s2.0-84987690568&amp;doi=10.1002%2f9781444392241.ch9&amp;partnerID=40&amp;md5=e00f55cc05de32d679385192c1386b74</t>
  </si>
  <si>
    <t>&lt;p&gt;Export Date: 27 January 2025; Cited By: 0&lt;/p&gt; | RAYYAN-INCLUSION: {"Isobel"=&gt;"Included"}</t>
  </si>
  <si>
    <t>fisheries adaptation;Fisheries management;Institutional frameworks;scientific advice;Sub-Regional Fisheries Commission;West Africa</t>
  </si>
  <si>
    <t>rayyan-153486373</t>
  </si>
  <si>
    <t>Look whoâ€™s talking: Contributions to evidence-based decision making for commercial fisheries in atlantic Canada</t>
  </si>
  <si>
    <t>211-228</t>
  </si>
  <si>
    <t>Hamelin, K.M. and Hutchingsa, J.A. and Bailey, M.</t>
  </si>
  <si>
    <t>https://www.scopus.com/inward/record.uri?eid=2-s2.0-85149148088&amp;doi=10.1139%2fcjfas-2022-0025&amp;partnerID=40&amp;md5=ff3c7fd56e68f65eebadc2a2bb076da2</t>
  </si>
  <si>
    <t>&lt;p&gt;Export Date: 27 January 2025; Cited By: 5&lt;/p&gt; | RAYYAN-INCLUSION: {"Philip"=&gt;"Excluded", "Nibedita"=&gt;"Included"}</t>
  </si>
  <si>
    <t>10.1139/cjfas-2022-0025</t>
  </si>
  <si>
    <t>Atlantic Ocean;Canada;commercial species;decision making;Fisheries management;fishery management;indigenous knowledge;Indigenous knowledge;Local ecological knowledge;participatory approach;Peer review;Sciencepolicy;stakeholder;Stakeholders</t>
  </si>
  <si>
    <t>rayyan-153486377</t>
  </si>
  <si>
    <t>Using systems thinking to diagnose science-based fisheries management in China</t>
  </si>
  <si>
    <t>Su, S. and Tang, Y. and Kritzer, J.P. and Chen, Y.</t>
  </si>
  <si>
    <t>https://www.scopus.com/inward/record.uri?eid=2-s2.0-85123885766&amp;doi=10.1016%2fj.marpol.2022.104974&amp;partnerID=40&amp;md5=a55010b09920f173e34f2a802e5287c3</t>
  </si>
  <si>
    <t>&lt;p&gt;Export Date: 27 January 2025; Cited By: 4&lt;/p&gt; | RAYYAN-INCLUSION: {"Elina"=&gt;"Excluded"}</t>
  </si>
  <si>
    <t>10.1016/j.marpol.2022.104974</t>
  </si>
  <si>
    <t>Best scientific information available;China;Chinese marine fisheries;Data exchange;data management;decision making;Feedback loop;fishery management;fishery policy;legislation;Linkages;Science-policy interface;stakeholder</t>
  </si>
  <si>
    <t>rayyan-153486382</t>
  </si>
  <si>
    <t>Embracing Implementation Science to Enhance Fisheries and Aquatic Management and Conservation</t>
  </si>
  <si>
    <t>475-485</t>
  </si>
  <si>
    <t>Cooke, S.J. and Young, N. and Alexander, S. and Kadykalo, A.N. and Danylchuk, A.J. and Muir, A.M. and Hinderer, J.L.M. and Cvitanovic, C. and Nguyen, V.M.</t>
  </si>
  <si>
    <t>https://www.scopus.com/inward/record.uri?eid=2-s2.0-85197397524&amp;doi=10.1002%2ffsh.11112&amp;partnerID=40&amp;md5=e31ae116edfc21f7b1599d8d0a02383d</t>
  </si>
  <si>
    <t>&lt;p&gt;Export Date: 27 January 2025; Cited By: 0&lt;/p&gt; | RAYYAN-INCLUSION: {"Isobel"=&gt;"Excluded"}</t>
  </si>
  <si>
    <t>10.1002/fsh.11112</t>
  </si>
  <si>
    <t>rayyan-153486384</t>
  </si>
  <si>
    <t>Use of monitoring data to support conservation management and policy decisions in Micronesia</t>
  </si>
  <si>
    <t>1279-1289</t>
  </si>
  <si>
    <t>Montambault, J.R. and Wongbusarakum, S. and Leberer, T. and Joseph, E. and Andrew, W. and Castro, F. and Nevitt, B. and Golbuu, Y. and Oldiais, N.W. and Groves, C.R. and Kostka, W. and Houk, P.</t>
  </si>
  <si>
    <t>https://www.scopus.com/inward/record.uri?eid=2-s2.0-84942037139&amp;doi=10.1111%2fcobi.12542&amp;partnerID=40&amp;md5=b9c1e317af2eb8cffad3250f8de1bc9a</t>
  </si>
  <si>
    <t>&lt;p&gt;Export Date: 27 January 2025; Cited By: 13&lt;/p&gt; | RAYYAN-INCLUSION: {"Alec"=&gt;"Excluded"}</t>
  </si>
  <si>
    <t>10.1111/cobi.12542</t>
  </si>
  <si>
    <t>adaptive management;Adaptive management;aggregation behavior;animal;Animals;Anthozoa;bass;Bass;Caroline Islands;communication;Communications;community resource management;Community-based conservation;conservation management;Conservation of Natural Resources;coral bleaching;coral reef;Coral Reefs;decision making;Decision Making;ecosystem management;Ecosystem management;environmental legislation;environmental monitoring;environmental planning;Environmental Policy;environmental protection;Epinephelinae;Federated States of Micronesia;Fisheries;fishery;Geologic Sediments;knowledge based system;Mariana Islands;marine ecosystem;Micronesia;Nimpal Channel;Northern Mariana Islands;Oceania;Oceania Ecozone;overfishing;physiology;Pohnpei [(STT) Federated States of Micronesia];population dynamics;Population Dynamics;procedures;project assessment;protected area;Saipan;seafood;sediment;spawning;Yap</t>
  </si>
  <si>
    <t>rayyan-153486395</t>
  </si>
  <si>
    <t>â€˜Best available scienceâ€™ approach to management decisions by the Commission for the Convention on the Conservation of Antarctic Living Resources: consistent or selective?</t>
  </si>
  <si>
    <t>Australian Journal of Maritime and Ocean Affairs</t>
  </si>
  <si>
    <t>53-75</t>
  </si>
  <si>
    <t>Goldsworthy, L.D.</t>
  </si>
  <si>
    <t>https://www.scopus.com/inward/record.uri?eid=2-s2.0-85115057499&amp;doi=10.1080%2f18366503.2021.1980264&amp;partnerID=40&amp;md5=d7c5ef4854e5901d23f1502815e0947f</t>
  </si>
  <si>
    <t>&lt;p&gt;Export Date: 27 January 2025; Cited By: 4&lt;/p&gt; | RAYYAN-INCLUSION: {"Iris"=&gt;"Included"}</t>
  </si>
  <si>
    <t>10.1080/18366503.2021.1980264</t>
  </si>
  <si>
    <t>rayyan-153486398</t>
  </si>
  <si>
    <t>On the development of criteria for determining the effectiveness of technical working groups: A case study about information processes in marine conservation and fisheries management in Belize</t>
  </si>
  <si>
    <t>Eck, K. and Soomai, S.S. and MacDonald, B.H.</t>
  </si>
  <si>
    <t>https://www.scopus.com/inward/record.uri?eid=2-s2.0-85201766028&amp;doi=10.1016%2fj.envsci.2024.103863&amp;partnerID=40&amp;md5=d8e03fb30925f427d3e3cd999e1104da</t>
  </si>
  <si>
    <t>10.1016/j.envsci.2024.103863</t>
  </si>
  <si>
    <t>advisory committee;article;Belize;Belize [Central America];case study;Central America;Central American;decision making;Decision-making;Dermatemys mawii);ecosystem;environmental management;Epinephelus;evidence based practice;female;Fisheries management;fishery;fishery management;habitat conservation;Hicatee (central American river turtle;human;Information use;intergovernmental organization;interview;marine policy;Nassau Grouper (Epinephelus striatus);resource availability;river;spawning;stakeholder;surgery;turtle;Working groups</t>
  </si>
  <si>
    <t>rayyan-153486399</t>
  </si>
  <si>
    <t>Coastal and Ocean Science-Based Decision-Making in the Gulf of California: Lessons and Opportunities for Improvement</t>
  </si>
  <si>
    <t>557-576</t>
  </si>
  <si>
    <t>Lowell, S.M. and Hoffmann, T.C. and McGrath, M. and Brazil, G. and Thomas, S.L.</t>
  </si>
  <si>
    <t>https://www.scopus.com/inward/record.uri?eid=2-s2.0-84868284585&amp;doi=10.1080%2f08920753.2012.727725&amp;partnerID=40&amp;md5=293ee1dd2e633b9738610479b6285747</t>
  </si>
  <si>
    <t>&lt;p&gt;Export Date: 27 January 2025; Cited By: 4&lt;/p&gt; | RAYYAN-INCLUSION: {"Philip"=&gt;"Included", "Nibedita"=&gt;"Included"}</t>
  </si>
  <si>
    <t>10.1080/08920753.2012.727725</t>
  </si>
  <si>
    <t>biodiversity;Biodiversity;boundary organizations;coastal management;Coastal management;coastal zone management;decision making;Decision making;Economics;Fisheries;fishery management;Gulf of California;Information management;Institutional arrangement;institutional arrangements;Integration;marine management;Marine management;Me-xico;Mexico;nature conservation;Pacific Ocean;science and technology;science integration;science-based decision-making;Societies and institutions</t>
  </si>
  <si>
    <t>rayyan-153486409</t>
  </si>
  <si>
    <t>Missing the safety net: Evidence for inconsistent and insufficient management of at-risk marine fishes in Canada</t>
  </si>
  <si>
    <t>1596-1608</t>
  </si>
  <si>
    <t>McDevitt-Irwin, J.M. and Fuller, S.D. and Grant, C. and Baum, J.K.</t>
  </si>
  <si>
    <t>https://www.scopus.com/inward/record.uri?eid=2-s2.0-84942645459&amp;doi=10.1139%2fcjfas-2015-0030&amp;partnerID=40&amp;md5=c5fbab39c198b91133f6da9f8cba4182</t>
  </si>
  <si>
    <t>&lt;p&gt;Export Date: 27 January 2025; Cited By: 23&lt;/p&gt; | RAYYAN-INCLUSION: {"Isobel"=&gt;"Excluded"}</t>
  </si>
  <si>
    <t>10.1139/cjfas-2015-0030</t>
  </si>
  <si>
    <t>Canada;conservation management;conservation planning;decision making;endangered species;environmental legislation;fishery management;fishery regulation;marine park;nature conservation;Pisces;risk assessment;species inventory</t>
  </si>
  <si>
    <t>rayyan-153486420</t>
  </si>
  <si>
    <t>Implementing Ecosystem Approach to Fisheries Management in the Western and Central Pacific Fisheries Commission: Challenges and Prospects</t>
  </si>
  <si>
    <t>Fishes</t>
  </si>
  <si>
    <t>Shen, H. and Song, L.</t>
  </si>
  <si>
    <t>https://www.scopus.com/inward/record.uri?eid=2-s2.0-85154621134&amp;doi=10.3390%2ffishes8040198&amp;partnerID=40&amp;md5=50f0f05ea58a5d09c3ec89f2281eb346</t>
  </si>
  <si>
    <t>&lt;p&gt;Export Date: 27 January 2025; Cited By: 4&lt;/p&gt; | RAYYAN-INCLUSION: {"Philip"=&gt;"Excluded", "Aidan"=&gt;"Included"}</t>
  </si>
  <si>
    <t>10.3390/fishes8040198</t>
  </si>
  <si>
    <t>bycatch;conservation and management measures;conservation management;ecosystem approach;ecosystem resilience;fishery management;human activity;human factor;Pacific Ocean;Pacific Ocean (Central);resource depletion;risk assessment;tuna fisheries;tuna fishery;WCPFC</t>
  </si>
  <si>
    <t>rayyan-153486423</t>
  </si>
  <si>
    <t>The science-policy interface in fisheries management: Insights about the influence of organizational structure and culture on information pathways</t>
  </si>
  <si>
    <t>53-63</t>
  </si>
  <si>
    <t>Soomai, S.S.</t>
  </si>
  <si>
    <t>https://www.scopus.com/inward/record.uri?eid=2-s2.0-85015411438&amp;doi=10.1016%2fj.marpol.2017.03.016&amp;partnerID=40&amp;md5=0caea90a973b3dc1d5f1bb9aded0394e</t>
  </si>
  <si>
    <t>&lt;p&gt;Export Date: 27 January 2025; Cited By: 28&lt;/p&gt; | RAYYAN-INCLUSION: {"Alice"=&gt;"Excluded"}</t>
  </si>
  <si>
    <t>10.1016/j.marpol.2017.03.016</t>
  </si>
  <si>
    <t>bureaucracy;Canada;decentralization;decision making;fishery management;policy approach;stakeholder</t>
  </si>
  <si>
    <t>rayyan-153486431</t>
  </si>
  <si>
    <t>Practical solutions for making models indispensable in conservation decision-making</t>
  </si>
  <si>
    <t>Diversity and Distributions</t>
  </si>
  <si>
    <t>490-502</t>
  </si>
  <si>
    <t>Addison, P.F.E. and Rumpff, L. and Bau, S.S. and Carey, J.M. and Chee, Y.E. and Jarrad, F.C. and McBride, M.F. and Burgman, M.A.</t>
  </si>
  <si>
    <t>https://www.scopus.com/inward/record.uri?eid=2-s2.0-84877356314&amp;doi=10.1111%2fddi.12054&amp;partnerID=40&amp;md5=603634974ece211512a92744ee28a456</t>
  </si>
  <si>
    <t>&lt;p&gt;Export Date: 27 January 2025; Cited By: 188&lt;/p&gt; | RAYYAN-INCLUSION: {"Isobel"=&gt;"Excluded"}</t>
  </si>
  <si>
    <t>10.1111/ddi.12054</t>
  </si>
  <si>
    <t>Communication;Conservation;conservation management;conservation planning;decision making;ecosystem modeling;environmental modeling;global perspective;Modelling;policy making;Structured decision-making;Trust;Uncertainty</t>
  </si>
  <si>
    <t>rayyan-153486434</t>
  </si>
  <si>
    <t>Collaboration and engagement with decision-makers are needed to reduce evidence complacency in wildlife management</t>
  </si>
  <si>
    <t>730-745</t>
  </si>
  <si>
    <t>Kadykalo, A.N. and Findlay, C.S. and Spencer, M. and Callaghan, C.L. and Cooke, S.J. and Young, N.</t>
  </si>
  <si>
    <t>https://www.scopus.com/inward/record.uri?eid=2-s2.0-85185137347&amp;doi=10.1007%2fs13280-024-01979-9&amp;partnerID=40&amp;md5=7f2720e1ba0045da627de09e6e04afe5</t>
  </si>
  <si>
    <t>&lt;p&gt;Export Date: 27 January 2025; Cited By: 1&lt;/p&gt; | RAYYAN-INCLUSION: {"Philip"=&gt;"Excluded", "Nibedita"=&gt;"Included"}</t>
  </si>
  <si>
    <t>10.1007/s13280-024-01979-9</t>
  </si>
  <si>
    <t>animal;Animals;Animals, Wild;biodiversity;Biodiversity;British Columbia;Canada;Conservation evidence;conservation management;Conservation of Natural Resources;decision making;Decision Making;environmental conditions;Environmental evidence;environmental management;Environmental management;environmental protection;Fish and wildlife management;fresh water;Fresh Water;human;Humans;knowledge;Knowledge exchange;natural resource;Natural resource management;reproducibility;Reproducibility of Results;resource management;wild animal;wildlife management</t>
  </si>
  <si>
    <t>rayyan-153486438</t>
  </si>
  <si>
    <t>The certainty of uncertainty in marine conservation and what to do about it</t>
  </si>
  <si>
    <t>Bulletin of Marine Science</t>
  </si>
  <si>
    <t>177-195</t>
  </si>
  <si>
    <t>Bednarek, A.T. and Cooper, A.B. and Cresswell, K.A. and Mangel, M. and Satterthwaite, W.H. and Simpfendorfer, C.A. and Wiedenmann, J.R.</t>
  </si>
  <si>
    <t>https://www.scopus.com/inward/record.uri?eid=2-s2.0-79955543223&amp;doi=10.5343%2fbms.2010.1060&amp;partnerID=40&amp;md5=287ddd5019edf42a56965a4e14fe9348</t>
  </si>
  <si>
    <t>&lt;p&gt;Export Date: 27 January 2025; Cited By: 7&lt;/p&gt; | RAYYAN-INCLUSION: {"Iris"=&gt;"Excluded"}</t>
  </si>
  <si>
    <t>10.5343/bms.2010.1060</t>
  </si>
  <si>
    <t>Chondrichthyes;climate change;climate effect;conservation management;crustacean;database;Decapoda (Crustacea);decision making;Euphausiacea;fishery modeling;literature review;management practice;marine ecosystem;prioritization;risk assessment;salmonid;Salmonidae;Southern Ocean;uncertainty analysis;United States</t>
  </si>
  <si>
    <t>rayyan-153486439</t>
  </si>
  <si>
    <t>Experiences in developing empirical harvest strategies for the Indonesian tropical tuna fisheries</t>
  </si>
  <si>
    <t>Hoshino, E. and Satria, F. and Sadiyah, L. and Yunanda, T. and Suadela, P. and Proctor, C. and Dell, J. and Davies, C.</t>
  </si>
  <si>
    <t>https://www.scopus.com/inward/record.uri?eid=2-s2.0-85189662150&amp;doi=10.1016%2fj.ocecoaman.2024.107138&amp;partnerID=40&amp;md5=777dc728da2feaa3d1e3e929c4e4a9fc</t>
  </si>
  <si>
    <t>&lt;p&gt;Export Date: 27 January 2025; Cited By: 3&lt;/p&gt; | RAYYAN-INCLUSION: {"Philip"=&gt;"Excluded"}</t>
  </si>
  <si>
    <t>10.1016/j.ocecoaman.2024.107138</t>
  </si>
  <si>
    <t>adaptive management;Adaptive management;Adaptive Management;Best practices;Capacity development;Data-limited fisheries;Data-limited fishery;decision making;Decision making;Developing countries;developing world;Fisheries;fishery production;harvesting;Harvesting;Indonesia;Institutional capacities;Institutional capacity development;Knowledge co productions;Knowledge co-production;Management procedures;simulation;stakeholder;Tropics;Tuna fisheries</t>
  </si>
  <si>
    <t>rayyan-153486446</t>
  </si>
  <si>
    <t>A comprehensive framework for operating science-based fisheries management: A checklist for using the best available science</t>
  </si>
  <si>
    <t>798-811</t>
  </si>
  <si>
    <t>Su, S. and Tang, Y. and Chen, J. and Chang, B. and Chen, Y.</t>
  </si>
  <si>
    <t>https://www.scopus.com/inward/record.uri?eid=2-s2.0-85103180876&amp;doi=10.1111%2ffaf.12551&amp;partnerID=40&amp;md5=6059c5cd995afeccd1113f3ce7c4447d</t>
  </si>
  <si>
    <t>&lt;p&gt;Export Date: 27 January 2025; Cited By: 7&lt;/p&gt; | RAYYAN-INCLUSION: {"Tabitha"=&gt;"Excluded", "Elina"=&gt;"Excluded"}</t>
  </si>
  <si>
    <t>10.1111/faf.12551</t>
  </si>
  <si>
    <t>fisheries decision-making;fisheries science;fishery management;fishery policy;integration of scientific information;literature review;numerical model;qualitative analysis;science-policy interface;system thinking</t>
  </si>
  <si>
    <t>rayyan-153486447</t>
  </si>
  <si>
    <t>Oceans of plenty? Challenges, advancements, and future directions for the provision of evidence-based fisheries management advice</t>
  </si>
  <si>
    <t>Reviews in Fish Biology and Fisheries</t>
  </si>
  <si>
    <t>375-410</t>
  </si>
  <si>
    <t>Goethel, D.R. and Omori, K.L. and Punt, A.E. and Lynch, P.D. and Berger, A.M. and de Moor, C.L. and PlagÃ¡nyi, Ã‰.E. and Cope, J.M. and Dowling, N.A. and McGarvey, R. and Preece, A.L. and Thorson, J.T. and Chaloupka, M. and Gaichas, S. and Gilman, E. and Hesp, S.A. and Longo, C. and Yao, N. and Methot, R.D.</t>
  </si>
  <si>
    <t>https://www.scopus.com/inward/record.uri?eid=2-s2.0-85138147552&amp;doi=10.1007%2fs11160-022-09726-7&amp;partnerID=40&amp;md5=9e67d5c14730d9eb784c698a259d6303</t>
  </si>
  <si>
    <t>&lt;p&gt;Export Date: 27 January 2025; Cited By: 19&lt;/p&gt; | RAYYAN-INCLUSION: {"Philip"=&gt;"Excluded", "Nibedita"=&gt;"Excluded"}</t>
  </si>
  <si>
    <t>10.1007/s11160-022-09726-7</t>
  </si>
  <si>
    <t>capacity building;climate change;climate modeling;Data-limited methods (DLMs);Ecosystem and climate models;ecosystem modeling;Fisheries management;fishery management;Management strategy evaluation (MSE);participatory approach;Spatial modeling;stakeholder;stock assessment;Stock assessment;traditional knowledge</t>
  </si>
  <si>
    <t>rayyan-153486448</t>
  </si>
  <si>
    <t>Assessing public "participation" in environmental decision-making: Lessons learned from the UK Marine Conservation Zone (MCZ) site selection process</t>
  </si>
  <si>
    <t>91-101</t>
  </si>
  <si>
    <t>De Santo, E.M.</t>
  </si>
  <si>
    <t>https://www.scopus.com/inward/record.uri?eid=2-s2.0-84947926798&amp;doi=10.1016%2fj.marpol.2015.11.003&amp;partnerID=40&amp;md5=cc76255a458c59ad05e0c2b3a21067ed</t>
  </si>
  <si>
    <t>&lt;p&gt;Export Date: 27 January 2025; Cited By: 42&lt;/p&gt; | RAYYAN-INCLUSION: {"Tabitha"=&gt;"Included"}</t>
  </si>
  <si>
    <t>10.1016/j.marpol.2015.11.003</t>
  </si>
  <si>
    <t>Aarhus Convention;biodiversity;coastal zone management;decision making;Evidence-based decision making;Marine and Coastal Access Act;Marine Conservation Zones;marine park;participatory approach;site selection;stakeholder;Stakeholder participation;United Kingdom</t>
  </si>
  <si>
    <t>rayyan-153486451</t>
  </si>
  <si>
    <t>Testing best practices in small scale fisheries management: Evidence from a collaborative intervention in two marine protected areas of the central Mediterranean Sea</t>
  </si>
  <si>
    <t>Zampardi, S. and Scianna, C. and CalÃ², A. and Hogg, K. and RanÃ¹, M. and Aglieri, G. and Di Meglio, E. and Mangano, M.C. and Prato, G. and Romeo, T. and Colloca, F. and Milisenda, G. and Di Franco, A.</t>
  </si>
  <si>
    <t>https://www.scopus.com/inward/record.uri?eid=2-s2.0-85205884727&amp;doi=10.1016%2fj.ocecoaman.2024.107397&amp;partnerID=40&amp;md5=0f0d3f56ca4e005eb104f2f771195e43</t>
  </si>
  <si>
    <t>&lt;p&gt;Export Date: 27 January 2025; Cited By: 0&lt;/p&gt; | RAYYAN-INCLUSION: {"Philip"=&gt;"Excluded", "Nibedita"=&gt;"Excluded"}</t>
  </si>
  <si>
    <t>10.1016/j.ocecoaman.2024.107397</t>
  </si>
  <si>
    <t>Best practices;catch per unit effort;decision making;Fisheries;fishery management;Fishing (oil wells);Fishing gears;gillnet;image analysis;Image sampling;Marine protected area;Marine protected areas (MPAs);Mediterranean Sea;mesh size;participatory approach;Participatory management;Santa Maria [Rio Grande du Sul];Selective fishing gear;Selective fishing gears;Small-scale fisheries;Small-scale fisheries (SSF);Small-scale fishery;Social-ecological outcome;Social-ecological outcomes;stakeholder;Sustainable fishing practice;Sustainable fishing practices</t>
  </si>
  <si>
    <t>rayyan-153486452</t>
  </si>
  <si>
    <t>Shared ways of thinking in Brazil about the scienceâ€“practice interface in ecology and conservation</t>
  </si>
  <si>
    <t>449-461</t>
  </si>
  <si>
    <t>https://www.scopus.com/inward/record.uri?eid=2-s2.0-85056760522&amp;doi=10.1111%2fcobi.13242&amp;partnerID=40&amp;md5=86f353962d7a2dd2b2a768f70f6b9a55</t>
  </si>
  <si>
    <t>10.1111/cobi.13242</t>
  </si>
  <si>
    <t>Brazil;clasificaciÃ³n Q;conservaciÃ³n basada en evidencias;conservation;Conservation of Natural Resources;coproducciÃ³n de conocimiento elaboraciÃ³n de polÃ­ticas;decision making;Decision Making;ecological approach;ecology;Ecology;environmental policy;environmental protection;evidence-based conservation;knowing-doing gap;knowledge;knowledge coproduction;operant subjectivity;organization;Organizations;participatory approach;perception;policy making;polÃ­tica ambiental;principal component analysis;Q sorting;research-implementation gap;science and technology;subjetividad operante;vacÃ­o investigaciÃ³n-implementaciÃ³n;vacÃ­o saber-hacer</t>
  </si>
  <si>
    <t>rayyan-153486462</t>
  </si>
  <si>
    <t>Is scientific inquiry incompatible with government information control?</t>
  </si>
  <si>
    <t>1198-1210</t>
  </si>
  <si>
    <t>Hutchings, J.A. and Walters, C. and Haedrich, R.L.</t>
  </si>
  <si>
    <t>https://www.scopus.com/inward/record.uri?eid=2-s2.0-0030801674&amp;doi=10.1139%2ff97-051&amp;partnerID=40&amp;md5=0d98c90611681240628b442914efb74d</t>
  </si>
  <si>
    <t>&lt;p&gt;Export Date: 27 January 2025; Cited By: 122&lt;/p&gt; | RAYYAN-INCLUSION: {"Matthew"=&gt;"Excluded", "Elina"=&gt;"Excluded"}</t>
  </si>
  <si>
    <t>10.1139/f97-051</t>
  </si>
  <si>
    <t>Atlantic cod;Canada;fishery management;fishery sciences;Gadus morhua;governments;non-scientific interference;Oncorhynchus;Pacific salmon;political aspects;political influence;politics;resource conservation;resources conservation</t>
  </si>
  <si>
    <t>rayyan-153486465</t>
  </si>
  <si>
    <t>Institutionalizing co-production diplomacy in contexts of long-term epistemological conflict: A case study of cod fisheries governance</t>
  </si>
  <si>
    <t>Klenk, N. and Pentz, B. and Mandrak, N.E.</t>
  </si>
  <si>
    <t>https://www.scopus.com/inward/record.uri?eid=2-s2.0-85208741470&amp;doi=10.1002%2feet.2138&amp;partnerID=40&amp;md5=2fa7fa6acdf9fc423cd3e86049de2fce</t>
  </si>
  <si>
    <t>&lt;p&gt;Export Date: 27 January 2025; Cited By: 0&lt;/p&gt; | RAYYAN-INCLUSION: {"Alice"=&gt;"Excluded"}</t>
  </si>
  <si>
    <t>10.1002/eet.2138</t>
  </si>
  <si>
    <t>co-production;environmental governance;fisheries management;precautionary approach;resource epistemology;resource management</t>
  </si>
  <si>
    <t>rayyan-153486468</t>
  </si>
  <si>
    <t>Accelerating evidence-informed decision-making in conservation implementing agencies through effective monitoring, evaluation, and learning</t>
  </si>
  <si>
    <t>Mahajan, S.L. and Tanner, L. and Ahmadia, G. and Becker, H. and DeMello, N. and Fidler, R. and Harborne, A.R. and Jagadish, A. and Mills, M. and Cairney, P. and Cheng, S. and Fariss, B. and Masuda, Y.J. and Pabari, M. and TengÃ¶, M. and Wyborn, C. and Glew, L.</t>
  </si>
  <si>
    <t>https://www.scopus.com/inward/record.uri?eid=2-s2.0-85172465416&amp;doi=10.1016%2fj.biocon.2023.110304&amp;partnerID=40&amp;md5=6a05abaa91a2fa7a77ff8193eefcb7f7</t>
  </si>
  <si>
    <t>&lt;p&gt;Export Date: 27 January 2025; Cited By: 3&lt;/p&gt; | RAYYAN-INCLUSION: {"Carlos"=&gt;"Excluded"}</t>
  </si>
  <si>
    <t>10.1016/j.biocon.2023.110304</t>
  </si>
  <si>
    <t>Conservation;conservation management;conservation planning;Culture change;decision making;Decision-making;Evidence;knowledge;Knowledge systems;learning;Learning organizations;Monitoring, evaluation, and learning;Organizations</t>
  </si>
  <si>
    <t>rayyan-153486469</t>
  </si>
  <si>
    <t>Is scientific inquiry still incompatible with government information control? A quarter-century later</t>
  </si>
  <si>
    <t>1679-1695</t>
  </si>
  <si>
    <t>Godwin, S.C. and Bateman, A.W. and Mordecai, G. and Jones, S. and Hutchings, J.A.</t>
  </si>
  <si>
    <t>https://www.scopus.com/inward/record.uri?eid=2-s2.0-85175001753&amp;doi=10.1139%2fcjfas-2022-0286&amp;partnerID=40&amp;md5=b611152bce05e176538147687ada754b</t>
  </si>
  <si>
    <t>10.1139/cjfas-2022-0286</t>
  </si>
  <si>
    <t>aquaculture system;British Columbia;Canada;Canadian Science Advisory Secretariat;DFO;fishery management;marine resource;Pacific salmon;regulatory capture;salmon aquaculture;salmonid;science advice;sustainability</t>
  </si>
  <si>
    <t>rayyan-153486470</t>
  </si>
  <si>
    <t>Generating the evidence for marine fisheries policy and management</t>
  </si>
  <si>
    <t>29-35</t>
  </si>
  <si>
    <t>Holmes, J. and Lock, J.</t>
  </si>
  <si>
    <t>https://www.scopus.com/inward/record.uri?eid=2-s2.0-70349894925&amp;doi=10.1016%2fj.marpol.2009.04.004&amp;partnerID=40&amp;md5=e8412d6197bec52af1e568caf070a8fc</t>
  </si>
  <si>
    <t>&lt;p&gt;Export Date: 27 January 2025; Cited By: 26&lt;/p&gt; | RAYYAN-INCLUSION: {"Nibedita"=&gt;"Included", "Isobel"=&gt;"Included"}</t>
  </si>
  <si>
    <t>10.1016/j.marpol.2009.04.004</t>
  </si>
  <si>
    <t>best management practice;communication;Eurasia;Europe;Fisheries policy;fishery management;fishery policy;marine environment;policy making;policy strategy;Research communication;Research questions;research work</t>
  </si>
  <si>
    <t>rayyan-153486473</t>
  </si>
  <si>
    <t>PROGRESS OF FISHERIES-OCEANOGRAPHY COORDINATED INVESTIGATIONS IN THE GULF OF ALASKA AND ALEUTIAN PASSES</t>
  </si>
  <si>
    <t>Oceanography</t>
  </si>
  <si>
    <t>94-100</t>
  </si>
  <si>
    <t>Mordy, C.W. and Bond, N.A. and Cokelet, E.D. and Deary, A. and Lemagie, E. and Proctor, P. and Stabeno, P.J. and Tabisola, H.M. and Van Pelt, T. and Wisegarver, E.</t>
  </si>
  <si>
    <t>https://www.scopus.com/inward/record.uri?eid=2-s2.0-85177051912&amp;doi=10.5670%2foceanog.2023.218&amp;partnerID=40&amp;md5=cc8ab05fa288ed04cc0f818ad070a4c2</t>
  </si>
  <si>
    <t>&lt;p&gt;Export Date: 27 January 2025; Cited By: 7&lt;/p&gt; | RAYYAN-INCLUSION: {"Philip"=&gt;"Excluded"}</t>
  </si>
  <si>
    <t>10.5670/oceanog.2023.218</t>
  </si>
  <si>
    <t>rayyan-153486474</t>
  </si>
  <si>
    <t>UK deep-sea conservation: Progress, lessons learned, and actions for the future</t>
  </si>
  <si>
    <t>375-393</t>
  </si>
  <si>
    <t>Chaniotis, P.D. and Robson, L.M. and Lemasson, A.J. and Cornthwaite, A.L. and Howell, K.L.</t>
  </si>
  <si>
    <t>https://www.scopus.com/inward/record.uri?eid=2-s2.0-85076435963&amp;doi=10.1002%2faqc.3243&amp;partnerID=40&amp;md5=216553e9f9f62a837471ff14058ec81b</t>
  </si>
  <si>
    <t>&lt;p&gt;Export Date: 27 January 2025; Cited By: 7&lt;/p&gt; | RAYYAN-INCLUSION: {"Philip"=&gt;"Excluded", "Nibedita"=&gt;"Excluded"}</t>
  </si>
  <si>
    <t>10.1002/aqc.3243</t>
  </si>
  <si>
    <t>Anthozoa;biodiversity;coral;coral reef;cost-benefit analysis;deep sea;ecosystem service;environmental legislation;fishing;habitat management;knowledge;marine park;marine protected area;natural capital;ocean reef;United Kingdom</t>
  </si>
  <si>
    <t>rayyan-153486476</t>
  </si>
  <si>
    <t>Conservation practitioners' perspectives on decision triggers for evidence-based management</t>
  </si>
  <si>
    <t>1351-1357</t>
  </si>
  <si>
    <t>Addison, P.F.E. and Cook, C.N. and de Bie, K.</t>
  </si>
  <si>
    <t>https://www.scopus.com/inward/record.uri?eid=2-s2.0-84979543887&amp;doi=10.1111%2f1365-2664.12734&amp;partnerID=40&amp;md5=b1de3a77e03cae8e17c4b5a94a9c52de</t>
  </si>
  <si>
    <t>&lt;p&gt;Export Date: 27 January 2025; Cited By: 44&lt;/p&gt; | RAYYAN-INCLUSION: {"Alec"=&gt;"Included"}</t>
  </si>
  <si>
    <t>10.1111/1365-2664.12734</t>
  </si>
  <si>
    <t>adaptive management;biodiversity;conservation;conservation management;decision making;decision thresholds;decision-making;dry season;evidence-based management;landscape protection;monitoring;natural resource;natural resource management;policy;protected area;protected areas;resource management</t>
  </si>
  <si>
    <t>rayyan-153486477</t>
  </si>
  <si>
    <t>Enhancing adaptive capacities in coastal communities through engaged communication research: Insights from a statewide study of shellfish co-management</t>
  </si>
  <si>
    <t>240-253</t>
  </si>
  <si>
    <t>McGreavy, B. and Randall, S. and Quiring, T. and Hathaway, C. and Hillyer, G.</t>
  </si>
  <si>
    <t>https://www.scopus.com/inward/record.uri?eid=2-s2.0-85049467997&amp;doi=10.1016%2fj.ocecoaman.2018.06.016&amp;partnerID=40&amp;md5=190401086cf997014e3f04e5dbae19d7</t>
  </si>
  <si>
    <t>&lt;p&gt;Export Date: 27 January 2025; Cited By: 21&lt;/p&gt; | RAYYAN-INCLUSION: {"Philip"=&gt;"Included", "Prishnee"=&gt;"Included"}</t>
  </si>
  <si>
    <t>10.1016/j.ocecoaman.2018.06.016</t>
  </si>
  <si>
    <t>Adaptive capacity;adaptive management;bivalve;Bivalvia;Climate change;Co-management;Coastal communities;coastal zone management;communication;Communication research;decision making;Decision making;Economics;ecosystem resilience;Ecosystems;Fisheries;Invasive species;Land use;Multiple stressors;Mya arenaria;research;resource management;Shared responsibility;shellfish;Shellfish;Small-scale fisheries;Soft shell clams</t>
  </si>
  <si>
    <t>rayyan-153486480</t>
  </si>
  <si>
    <t>Multi-criteria decision models for management of tropical coastal fisheries</t>
  </si>
  <si>
    <t>Sustainable Agriculture</t>
  </si>
  <si>
    <t>251-280</t>
  </si>
  <si>
    <t>Andalecio, M.N.</t>
  </si>
  <si>
    <t>https://www.scopus.com/inward/record.uri?eid=2-s2.0-84886092496&amp;doi=10.1007%2f978-94-007-0394-0_14&amp;partnerID=40&amp;md5=8fb665e8ee67e03b1a6c8f25651eb570</t>
  </si>
  <si>
    <t>&lt;p&gt;Export Date: 27 January 2025; Cited By: 4&lt;/p&gt; | RAYYAN-INCLUSION: {"Philip"=&gt;"Excluded"}</t>
  </si>
  <si>
    <t>Criteria;Fisheries management;Impact evaluation;Indicators;Multi-criteria decision models;Preference system;San Miguel Bay</t>
  </si>
  <si>
    <t>rayyan-153486484</t>
  </si>
  <si>
    <t>Predicting species distributions for conservation decisions</t>
  </si>
  <si>
    <t>1424-1435</t>
  </si>
  <si>
    <t>Guisan, A. and Tingley, R. and Baumgartner, J.B. and Naujokaitis-Lewis, I. and Sutcliffe, P.R. and Tulloch, A.I.T. and Regan, T.J. and Brotons, L. and Mcdonald-Madden, E. and Mantyka-Pringle, C. and Martin, T.G. and Rhodes, J.R. and Maggini, R. and Setterfield, S.A. and Elith, J. and Schwartz, M.W. and Wintle, B.A. and Broennimann, O. and Austin, M. and Ferrier, S. and Kearney, M.R. and Possingham, H.P. and Buckley, Y.M.</t>
  </si>
  <si>
    <t>https://www.scopus.com/inward/record.uri?eid=2-s2.0-84886730120&amp;doi=10.1111%2fele.12189&amp;partnerID=40&amp;md5=bf6a0b50920913632a5df4b12a3ac128</t>
  </si>
  <si>
    <t>&lt;p&gt;Export Date: 27 January 2025; Cited By: 1464&lt;/p&gt; | RAYYAN-INCLUSION: {"Carlos"=&gt;"Excluded"}</t>
  </si>
  <si>
    <t>10.1111/ele.12189</t>
  </si>
  <si>
    <t>biological invasion;Biological invasions;Conservation of Natural Resources;conservation planning;Conservation planning;Critical habitats;decision making;Decision Making;decision support system;Decision Support Techniques;ecology;Ecology;endangered species;Endangered Species;environmental protection;Environmental suitability;knowledge;methodology;Models, Theoretical;population distribution;procedures;Research Design;Reserve selection;species conservation;Species distribution model;Structured decision making;theoretical model;translocation;Translocation</t>
  </si>
  <si>
    <t>rayyan-153486486</t>
  </si>
  <si>
    <t>Strengthening the contribution of macroecological models to conservation practice</t>
  </si>
  <si>
    <t>Global Ecology and Biogeography</t>
  </si>
  <si>
    <t>54-60</t>
  </si>
  <si>
    <t>Rapacciuolo, G.</t>
  </si>
  <si>
    <t>https://www.scopus.com/inward/record.uri?eid=2-s2.0-85057178293&amp;doi=10.1111%2fgeb.12848&amp;partnerID=40&amp;md5=74abec48bc136d3a18045a8912745e75</t>
  </si>
  <si>
    <t>&lt;p&gt;Export Date: 27 January 2025; Cited By: 20&lt;/p&gt; | RAYYAN-INCLUSION: {"Tabitha"=&gt;"Excluded"}</t>
  </si>
  <si>
    <t>10.1111/geb.12848</t>
  </si>
  <si>
    <t>black box;conservation planning;decision making;macroecological models;macroecology;modeling;perception;policy;practitioners;science-practice gap;uncertainty;uncertainty analysis</t>
  </si>
  <si>
    <t>rayyan-153486487</t>
  </si>
  <si>
    <t>Exploration of Concerns about the Evidence-Based Guideline Approach in Conservation Management: Hints from Medical Practice</t>
  </si>
  <si>
    <t>435-449</t>
  </si>
  <si>
    <t>Gutzat, F. and Dormann, C.F.</t>
  </si>
  <si>
    <t>https://www.scopus.com/inward/record.uri?eid=2-s2.0-85086914181&amp;doi=10.1007%2fs00267-020-01312-6&amp;partnerID=40&amp;md5=c6e6352656bea1a017d9fc55bf71dc71</t>
  </si>
  <si>
    <t>&lt;p&gt;Export Date: 27 January 2025; Cited By: 11&lt;/p&gt; | RAYYAN-INCLUSION: {"Iris"=&gt;"Included"}</t>
  </si>
  <si>
    <t>10.1007/s00267-020-01312-6</t>
  </si>
  <si>
    <t>article;Biodiversity conservation;climate;Climate;Conservation;conservation biology;conservation management;Conservation management;Conservation of Natural Resources;decision making;Decision making;Decision support;decision support system;Ecological relevance;environmental protection;Evidence framework;Evidence-based guidelines;Evidence-based practice;forest;Forest conservation;forest management;forestry;Forestry;Forests;guideline;human;Implementation gap;Medical guidelines;medical practice;Multifunctionality;physician;practice gap;practice guideline;reproducibility;Reproducibility of Results;semi structured interview;Semi structured interviews;Systematic searches</t>
  </si>
  <si>
    <t>rayyan-153486490</t>
  </si>
  <si>
    <t>The impacts of digital transformation on fisheries policy and sustainability: Lessons from Timor-Leste</t>
  </si>
  <si>
    <t>Tilley, A. and Dam Lam, R. and Lozano Lazo, D. and Dos Reis Lopes, J. and Freitas Da Costa, D. and De FÃ¡tima Belo, M. and Da Silva, J. and Da Cruz, G. and Rossignoli, C.</t>
  </si>
  <si>
    <t>https://www.scopus.com/inward/record.uri?eid=2-s2.0-85184031624&amp;doi=10.1016%2fj.envsci.2024.103684&amp;partnerID=40&amp;md5=46f2c0bac4ee52153ea8071a611036f3</t>
  </si>
  <si>
    <t>&lt;p&gt;Export Date: 27 January 2025; Cited By: 3&lt;/p&gt; | RAYYAN-INCLUSION: {"Philip"=&gt;"Excluded", "Iris"=&gt;"Included"}</t>
  </si>
  <si>
    <t>10.1016/j.envsci.2024.103684</t>
  </si>
  <si>
    <t>article;capacity building;catalysis;controlled study;digital technology;digitization;environmental sustainability;fish;Fisheries management;Fisheries monitoring;fishery;fishery management;fishing;Fishing communities;fishing community;food industry;food production;Food production;government;human;interview;investment;law;legislation;Lesser Sunda Islands;livelihood;Livelihoods;natural resource;Peskas;Real-time;resource management;Resource management;stakeholder;Sunda Isles;Timor;Timor-Leste</t>
  </si>
  <si>
    <t>rayyan-153486499</t>
  </si>
  <si>
    <t>Managing multi-lateral, intergovernmental projects and programmes: The case ofthe UNEP/GEF South China Sea project</t>
  </si>
  <si>
    <t>141-152</t>
  </si>
  <si>
    <t>Pernetta, J.C. and Jiang, Y.</t>
  </si>
  <si>
    <t>https://www.scopus.com/inward/record.uri?eid=2-s2.0-84889583418&amp;doi=10.1016%2fj.ocecoaman.2012.10.012&amp;partnerID=40&amp;md5=e4a2b302d2a007a2a0e4dcea2a2bd018</t>
  </si>
  <si>
    <t>10.1016/j.ocecoaman.2012.10.012</t>
  </si>
  <si>
    <t>Adaptive Management;biodiversity;coastal zone management;Conservation;decision making;Decision making;Electric power system interconnection;environmental degradation;Fisheries;Fisheries management;fishery management;Gulf of Thailand;implementation process;Information management;intergovernmental relations;International cooperation;Land-based pollution;Management frameworks;Management structure;Pacific Ocean;participatory approach;Pollution control;Project implementation;Scientific knowledge;South China Sea;state role;Technical committees;United Nations Environment Program</t>
  </si>
  <si>
    <t>rayyan-153486500</t>
  </si>
  <si>
    <t>Improving knowledge exchange among scientists and decision-makers to facilitate the adaptive governance of marine resources: A review of knowledge and research needs</t>
  </si>
  <si>
    <t>Cvitanovic, C. and Hobday, A.J. and van Kerkhoff, L. and Wilson, S.K. and Dobbs, K. and Marshall, N.A.</t>
  </si>
  <si>
    <t>https://www.scopus.com/inward/record.uri?eid=2-s2.0-84928892071&amp;doi=10.1016%2fj.ocecoaman.2015.05.002&amp;partnerID=40&amp;md5=4a68dab311e206e977bece2fab00f7ed</t>
  </si>
  <si>
    <t>&lt;p&gt;Export Date: 27 January 2025; Cited By: 373&lt;/p&gt; | RAYYAN-INCLUSION: {"Isobel"=&gt;"Excluded"}</t>
  </si>
  <si>
    <t>10.1016/j.ocecoaman.2015.05.002</t>
  </si>
  <si>
    <t>decision making;Decision making;Decision-making;Ecosystems;Enabling environment;fishery management;innovation;Institutional barriers;Institutional innovation;Knowledge exchange;Knowledge management;Knowledge transfer;literature review;Marine biology;Natural resources;Natural resources management;Oceanography;Research needs;Societies and institutions;sustainable development;Sustainable development</t>
  </si>
  <si>
    <t>rayyan-153486507</t>
  </si>
  <si>
    <t>Identifying useful climate change information needs of Great Lakes fishery managers</t>
  </si>
  <si>
    <t>590-598</t>
  </si>
  <si>
    <t>Mulvaney, K.K. and Foley, C.J. and HÃ¶Ã¶k, T.O. and McNie, E.C. and Prokopy, L.S.</t>
  </si>
  <si>
    <t>https://www.scopus.com/inward/record.uri?eid=2-s2.0-84907700737&amp;doi=10.1016%2fj.jglr.2014.06.002&amp;partnerID=40&amp;md5=737fc6fb7eb0a7ebc7c360f4665a8510</t>
  </si>
  <si>
    <t>&lt;p&gt;Export Date: 27 January 2025; Cited By: 7&lt;/p&gt; | RAYYAN-INCLUSION: {"Iris"=&gt;"Included"}</t>
  </si>
  <si>
    <t>10.1016/j.jglr.2014.06.002</t>
  </si>
  <si>
    <t>climate change;Climate change;Commercial and recreational fishery management;Data needs;decision making;Decision making;Fisheries;fishery management;Great Lakes [North America];information management;Information use;Lakes;Laurentian Great Lakes;Management concerns;Managers;Physical conditions;Presenting informations;Recreational fisheries;Social science;Social sciences;spatiotemporal analysis;stakeholder;symbiont;Temporal and spatial scale;Trophic interactions</t>
  </si>
  <si>
    <t>rayyan-153486508</t>
  </si>
  <si>
    <t>Science-policy interactions in MPA site selection in the Dutch part of the North Sea</t>
  </si>
  <si>
    <t>656-670</t>
  </si>
  <si>
    <t>Van Haastrecht, E.K. and Toonen, H.M.</t>
  </si>
  <si>
    <t>https://www.scopus.com/inward/record.uri?eid=2-s2.0-79955586174&amp;doi=10.1007%2fs00267-010-9546-7&amp;partnerID=40&amp;md5=5217cbe4e74567444dac418a171750e5</t>
  </si>
  <si>
    <t>&lt;p&gt;Export Date: 27 January 2025; Cited By: 13&lt;/p&gt; | RAYYAN-INCLUSION: {"Tabitha"=&gt;"Included"}</t>
  </si>
  <si>
    <t>10.1007/s00267-010-9546-7</t>
  </si>
  <si>
    <t>Animals;Atlantic Ocean;biodiversity;Biodiversity;Conservation of Natural Resources;decision making;Decision making;Decision Making, Organizational;Ecology;ecosystem;environmental planning;Environmental Policy;environmental protection;Environmental protection;environmental sustainability;Expert judgment;Fisheries;history;Humans;information;Information;integrated approach;Integrated marine management;Malaysia;Marine Biology;marine ecosystem;marine environment;Marine management;marine policy;marine protected areas;Marine protected areas;Netherlands;North Sea;Policy Making;politics;Politics;protected area;review;Science-policy interface;seashore;Site selection;socioeconomics;sustainable development;uncertainty</t>
  </si>
  <si>
    <t>rayyan-153486511</t>
  </si>
  <si>
    <t>Planning practical evidence-based decision making in conservation within time constraints: the Strategic Evidence Assessment Framework</t>
  </si>
  <si>
    <t>Sutherland, W.J. and Downey, H. and Frick, W.F. and Tinsley-Marshall, P. and McPherson, T.</t>
  </si>
  <si>
    <t>https://www.scopus.com/inward/record.uri?eid=2-s2.0-85100815247&amp;doi=10.1016%2fj.jnc.2021.125975&amp;partnerID=40&amp;md5=e197195a3a97f340709ec86b3c08e284</t>
  </si>
  <si>
    <t>10.1016/j.jnc.2021.125975</t>
  </si>
  <si>
    <t>conservation management;conservation planning;decision making;Decision-making;environmental planning;Evidence;planning process;resource allocation;Resource allocation;strategic approach;strategic environmental assessment;Strategy;Triage</t>
  </si>
  <si>
    <t>rayyan-153486519</t>
  </si>
  <si>
    <t>Bridging the Science-Policy Interface: Adaptive Solutions in the Anthropocene</t>
  </si>
  <si>
    <t>Conservation for the Anthropocene Ocean: Interdisciplinary Science in Support of Nature and People</t>
  </si>
  <si>
    <t>Sullivan, J.M. and Cerny-Chipman, E.B. and Rosenberg, A.A. and Lubchenco, J.</t>
  </si>
  <si>
    <t>https://www.scopus.com/inward/record.uri?eid=2-s2.0-85032709405&amp;doi=10.1016%2fB978-0-12-805375-1.00001-5&amp;partnerID=40&amp;md5=b87058969a08115b846453c3672a5068</t>
  </si>
  <si>
    <t>&lt;p&gt;Export Date: 27 January 2025; Cited By: 11&lt;/p&gt; | RAYYAN-INCLUSION: {"Sarah"=&gt;"Excluded"}</t>
  </si>
  <si>
    <t>California Marine Life Protection Act;Ecosystem-based management;Independent science;Marine reserves;Marine spatial planning;National ocean policy;Ocean acidification;Policymaking;Science communication;Secure-access fisheries</t>
  </si>
  <si>
    <t>rayyan-153486528</t>
  </si>
  <si>
    <t>Fishing for influence: Fisheries science and evidence in water resources development in the Mekong basin</t>
  </si>
  <si>
    <t>Water Alternatives</t>
  </si>
  <si>
    <t>167-182</t>
  </si>
  <si>
    <t>Friend, R.M.</t>
  </si>
  <si>
    <t>https://www.scopus.com/inward/record.uri?eid=2-s2.0-67651091615&amp;partnerID=40&amp;md5=57bb579acedc6b9c8636dd14e645c564</t>
  </si>
  <si>
    <t>&lt;p&gt;Export Date: 27 January 2025; Cited By: 20&lt;/p&gt; | RAYYAN-INCLUSION: {"Carlos"=&gt;"Excluded"}</t>
  </si>
  <si>
    <t>Fisheries;Hydropower;Mekong;Policy analysis;Science</t>
  </si>
  <si>
    <t>rayyan-153486533</t>
  </si>
  <si>
    <t>Sustainability and present-day approaches to fisheries management - are the two concepts irreconcilable?</t>
  </si>
  <si>
    <t>African Journal of Marine Science</t>
  </si>
  <si>
    <t>Pilling, G.M. and Payne, A.I.L.</t>
  </si>
  <si>
    <t>https://www.scopus.com/inward/record.uri?eid=2-s2.0-47549108652&amp;doi=10.2989%2fAJMS.2008.30.1.1.446&amp;partnerID=40&amp;md5=67db65fd6ce623f08fc3a5b782fc21c7</t>
  </si>
  <si>
    <t>&lt;p&gt;Export Date: 27 January 2025; Cited By: 5&lt;/p&gt; | RAYYAN-INCLUSION: {"Philip"=&gt;"Excluded", "Carlos"=&gt;"Excluded", "Elina"=&gt;"Included"}</t>
  </si>
  <si>
    <t>10.2989/AJMS.2008.30.1.1.446</t>
  </si>
  <si>
    <t>Anoplopoma fimbria;Anoplopomatidae;decision making;Decision making;Ecosystems;exploitation;Fisheries;Fisheries management;fishery management;Gadus morhua;harvesting;human activity;Jasus lalandii;perciform;Precautionary approach;precautionary principle;stakeholder;sustainability;Sustainability</t>
  </si>
  <si>
    <t>rayyan-153486534</t>
  </si>
  <si>
    <t>Effective engagement of conservation scientists with decision-makers</t>
  </si>
  <si>
    <t>Conservation Research, Policy and Practice</t>
  </si>
  <si>
    <t>162-182</t>
  </si>
  <si>
    <t>Rose, D.C. and Evans, M.C. and Jarvis, R.M.</t>
  </si>
  <si>
    <t>https://www.scopus.com/inward/record.uri?eid=2-s2.0-85113854260&amp;doi=10.1017%2f9781108638210.010&amp;partnerID=40&amp;md5=547b1cdae571d05c184e20175cd79ed0</t>
  </si>
  <si>
    <t>adaptive management;conservation;decision-making;evidence;management planning;monitoring;practitioners</t>
  </si>
  <si>
    <t>rayyan-153486536</t>
  </si>
  <si>
    <t>Conservation priorities: Identifying need, taking action and evaluating success</t>
  </si>
  <si>
    <t>Key Topics in Conservation Biology 2</t>
  </si>
  <si>
    <t>Pullin, A.S. and Sutherland, W. and Gardner, T. and Kapos, V. and Fa, J.E.</t>
  </si>
  <si>
    <t>https://www.scopus.com/inward/record.uri?eid=2-s2.0-84886097671&amp;doi=10.1002%2f9781118520178.ch1&amp;partnerID=40&amp;md5=1177655642ce8188f1a848224405a557</t>
  </si>
  <si>
    <t>&lt;p&gt;Export Date: 27 January 2025; Cited By: 59&lt;/p&gt; | RAYYAN-INCLUSION: {"Philip"=&gt;"Excluded"}</t>
  </si>
  <si>
    <t>Biodiversity;Conservation priorities;Decision-making frameworks;Ecosystem</t>
  </si>
  <si>
    <t>rayyan-153486538</t>
  </si>
  <si>
    <t>Use and misuse of CITES as a management tool for commercially-exploited aquatic species</t>
  </si>
  <si>
    <t>16-31</t>
  </si>
  <si>
    <t>Cochrane, K.</t>
  </si>
  <si>
    <t>https://www.scopus.com/inward/record.uri?eid=2-s2.0-84930221784&amp;doi=10.1016%2fj.marpol.2015.04.015&amp;partnerID=40&amp;md5=79614587f86c8700de9f2aa287c0e1e1</t>
  </si>
  <si>
    <t>&lt;p&gt;Export Date: 27 January 2025; Cited By: 12&lt;/p&gt; | RAYYAN-INCLUSION: {"Alice"=&gt;"Included"}</t>
  </si>
  <si>
    <t>10.1016/j.marpol.2015.04.015</t>
  </si>
  <si>
    <t>Animalia;aquatic organism;CITES;Commercially-exploited aquatic species;Endangered;endangered species;Fisheries;fishery management;Food and Agricultural Organization;Food and Agriculture Organization (FAO);international agreement;Listing criteria</t>
  </si>
  <si>
    <t>rayyan-153486546</t>
  </si>
  <si>
    <t>The use of evidence in decision-making by practitioners</t>
  </si>
  <si>
    <t>145-161</t>
  </si>
  <si>
    <t>Ausden, M. and Walsh, J.C.</t>
  </si>
  <si>
    <t>https://www.scopus.com/inward/record.uri?eid=2-s2.0-85100783411&amp;doi=10.1017%2f9781108638210.009&amp;partnerID=40&amp;md5=e26d352979cad6c37875d388b208561b</t>
  </si>
  <si>
    <t>&lt;p&gt;Export Date: 27 January 2025; Cited By: 6&lt;/p&gt; | RAYYAN-INCLUSION: {"Philip"=&gt;"Excluded", "Aidan"=&gt;"Excluded"}</t>
  </si>
  <si>
    <t>rayyan-153486556</t>
  </si>
  <si>
    <t>Mental models, communication, and engagement in marine projects</t>
  </si>
  <si>
    <t>2034-2039</t>
  </si>
  <si>
    <t>Boschetti, F. and Andreotta, M.</t>
  </si>
  <si>
    <t>https://www.scopus.com/inward/record.uri?eid=2-s2.0-85030678346&amp;doi=10.1093%2ficesjms%2ffsw240&amp;partnerID=40&amp;md5=9f79dc94dc4b69cd5325b36dc8b517bb</t>
  </si>
  <si>
    <t>10.1093/icesjms/fsw240</t>
  </si>
  <si>
    <t>communication;decision making;knowledge;marine environment;participatory approach;perception;planning process;project management;public attitude;stakeholder;theoretical study</t>
  </si>
  <si>
    <t>rayyan-153486557</t>
  </si>
  <si>
    <t>Bridge over troubled waters: A synthesis session to connect scientific and decision making sectors</t>
  </si>
  <si>
    <t>30-39</t>
  </si>
  <si>
    <t>Goldsmith, K. and Granek, E. and Lubitow, A. and Papenfus, M.</t>
  </si>
  <si>
    <t>https://www.scopus.com/inward/record.uri?eid=2-s2.0-84964345828&amp;doi=10.1016%2fj.marpol.2016.04.015&amp;partnerID=40&amp;md5=3127ea3ea18d1fe15c1fc398dd3362c3</t>
  </si>
  <si>
    <t>&lt;p&gt;Export Date: 27 January 2025; Cited By: 4&lt;/p&gt; | RAYYAN-INCLUSION: {"Philip"=&gt;"Excluded", "Carlos"=&gt;"Included"}</t>
  </si>
  <si>
    <t>10.1016/j.marpol.2016.04.015</t>
  </si>
  <si>
    <t>bridge;Coastal management;coastal zone management;decision making;Evidence-based decisions;Research based policy;stakeholder;Stakeholder engagement;Synthesis session;Workshop</t>
  </si>
  <si>
    <t>rayyan-153486558</t>
  </si>
  <si>
    <t>Utility of primary scientific literature to environmental managers: An international case study on coral-dominated marine protected areas</t>
  </si>
  <si>
    <t>72-78</t>
  </si>
  <si>
    <t>Cvitanovic, C. and Fulton, C.J. and Wilson, S.K. and van Kerkhoff, L. and Cripps, I.L. and Muthiga, N.</t>
  </si>
  <si>
    <t>https://www.scopus.com/inward/record.uri?eid=2-s2.0-84907476245&amp;doi=10.1016%2fj.ocecoaman.2014.09.003&amp;partnerID=40&amp;md5=c61c50f93b07458944b7858ddaeaa673</t>
  </si>
  <si>
    <t>&lt;p&gt;Export Date: 27 January 2025; Cited By: 90&lt;/p&gt; | RAYYAN-INCLUSION: {"Alice"=&gt;"Included"}</t>
  </si>
  <si>
    <t>10.1016/j.ocecoaman.2014.09.003</t>
  </si>
  <si>
    <t>Anthozoa;Australia;Belize [Central America];coral;decision making;environmental management;Environmental managers;Kenya;knowledge;limiting factor;literature review;Marine protected area;marine resource;protected area;public access;Scientific literature</t>
  </si>
  <si>
    <t>rayyan-153486568</t>
  </si>
  <si>
    <t>Bridging the divide between scientists and decision-makers: How behavioural ecologists can increase the conservation impact of their research?</t>
  </si>
  <si>
    <t>Philosophical Transactions of the Royal Society B: Biological Sciences</t>
  </si>
  <si>
    <t>Durant, S.M. and Groom, R. and Kuloba, B. and Samna, A. and Muzuma, U. and Gadimang, P. and Mandisodza-Chikerema, R. and Ipavec, A. and Mitchell, N. and Ikanda, D. and Msuha, M.</t>
  </si>
  <si>
    <t>https://www.scopus.com/inward/record.uri?eid=2-s2.0-85070749433&amp;doi=10.1098%2frstb.2019.0011&amp;partnerID=40&amp;md5=5064d990186dc203e98adb19ce4d8135</t>
  </si>
  <si>
    <t>&lt;p&gt;Export Date: 27 January 2025; Cited By: 16&lt;/p&gt; | RAYYAN-INCLUSION: {"Sarah"=&gt;"Included"}</t>
  </si>
  <si>
    <t>10.1098/rstb.2019.0011</t>
  </si>
  <si>
    <t>Acinonyx jubatus;Africa;article;awareness;Biodiversity conservation;cheetah;conservation biology;Conservation management;Conservation policy;decision making;Decision-making;dog;ecologist;ecology;environmental management;Environmental management;human;Lycaon pictus;manager;nonhuman;Protected area management;publication</t>
  </si>
  <si>
    <t>rayyan-153486571</t>
  </si>
  <si>
    <t>A new perspective on the work of boundary organisations: Bridging knowledge between marine conservation actors in Pacific Small Island Developing States</t>
  </si>
  <si>
    <t>Latour, M. and van Laerhoven, F.</t>
  </si>
  <si>
    <t>https://www.scopus.com/inward/record.uri?eid=2-s2.0-85204492155&amp;doi=10.1016%2fj.envsci.2024.103903&amp;partnerID=40&amp;md5=d44ae2f837bb9bb81877a47b0c00ac56</t>
  </si>
  <si>
    <t>&lt;p&gt;Export Date: 27 January 2025; Cited By: 1&lt;/p&gt; | RAYYAN-INCLUSION: {"Elina"=&gt;"Included"}</t>
  </si>
  <si>
    <t>10.1016/j.envsci.2024.103903</t>
  </si>
  <si>
    <t>Article;Boundary organisation;capacity building;conservation management;decision making;environmental protection;facilitation;human;interview;knowledge;Knowledge exchange;Marine conservation;marine environment;nature conservation;organization;Pacific islands;participation;research method;Research uptake;Science-policy-community interface;Small Island Developing States;trust</t>
  </si>
  <si>
    <t>rayyan-153486584</t>
  </si>
  <si>
    <t>Empowering NGOs? Long-term effects of ecological and institutional change on regional fisheries management organizations</t>
  </si>
  <si>
    <t>Dellmuth, L.M. and Petersson, M.T. and Dunn, D.C. and Boustany, A. and Halpin, P.N.</t>
  </si>
  <si>
    <t>https://www.scopus.com/inward/record.uri?eid=2-s2.0-85096168083&amp;doi=10.1016%2fj.gloenvcha.2020.102197&amp;partnerID=40&amp;md5=752156a3667d6b15710b5581c94d9928</t>
  </si>
  <si>
    <t>10.1016/j.gloenvcha.2020.102197</t>
  </si>
  <si>
    <t>Environmental non-governmental organizations (ENGOs);Fisheries Governance;fishery management;fishing industry;Institutional change;institutional framework;Matthiola;migratory species;Non-state actors;nongovernmental organization;Participation;Regional fisheries management organizations (RFMOs);stock assessment</t>
  </si>
  <si>
    <t>rayyan-153486587</t>
  </si>
  <si>
    <t>Navigating spaces between conservation research and practice: Are we making progress?</t>
  </si>
  <si>
    <t>Jarvis, R.M. and Borrelle, S.B. and Forsdick, N.J. and PÃ©rez-HÃ¤mmerle, K.-V. and Dubois, N.S. and Griffin, S.R. and Recalde-Salas, A. and Buschke, F. and Rose, D.C. and Archibald, C.L. and Gallo, J.A. and Mair, L. and Kadykalo, A.N. and Shanahan, D. and Prohaska, B.K.</t>
  </si>
  <si>
    <t>https://www.scopus.com/inward/record.uri?eid=2-s2.0-85108075524&amp;doi=10.1002%2f2688-8319.12028&amp;partnerID=40&amp;md5=986088797766396411ed807554ceb5bd</t>
  </si>
  <si>
    <t>&lt;p&gt;Export Date: 27 January 2025; Cited By: 38&lt;/p&gt; | RAYYAN-INCLUSION: {"Elina"=&gt;"Included"}</t>
  </si>
  <si>
    <t>10.1002/2688-8319.12028</t>
  </si>
  <si>
    <t>actionable knowledge;conservation mismatch;conservation research and practice;environmental impact;evidence-informed policy and practice;knowingâ€“doing gap;researchâ€“implementation gap;transdisciplinary research</t>
  </si>
  <si>
    <t>rayyan-153486591</t>
  </si>
  <si>
    <t>California dreaming: Challenges posed by transposing science-based marine protected area planning processes in different political contexts</t>
  </si>
  <si>
    <t>38-46</t>
  </si>
  <si>
    <t>https://www.scopus.com/inward/record.uri?eid=2-s2.0-85019976500&amp;doi=10.1016%2fj.envsci.2017.05.012&amp;partnerID=40&amp;md5=d16f91049232e8ab98c4c67390812f69</t>
  </si>
  <si>
    <t>&lt;p&gt;Export Date: 27 January 2025; Cited By: 10&lt;/p&gt; | RAYYAN-INCLUSION: {"Alice"=&gt;"Included"}</t>
  </si>
  <si>
    <t>10.1016/j.envsci.2017.05.012</t>
  </si>
  <si>
    <t>Article;decision making;environmental planning;environmental policy;environmental protection;evidence based practice;Evidence-based policy;human;Marine and Coastal Access Act;Marine Conservation Zones;marine environment;Marine Life Protection Act;Marine protected areas;politics;prediction;priority journal;science;Science-policy interface;United Kingdom</t>
  </si>
  <si>
    <t>rayyan-153486593</t>
  </si>
  <si>
    <t>Divergent farmer and scientist perceptions of agricultural biodiversity, ecosystem services and decision-making</t>
  </si>
  <si>
    <t>Maas, B. and Fabian, Y. and Kross, S.M. and Richter, A.</t>
  </si>
  <si>
    <t>https://www.scopus.com/inward/record.uri?eid=2-s2.0-85102589460&amp;doi=10.1016%2fj.biocon.2021.109065&amp;partnerID=40&amp;md5=0dbfafc732697db2f0aab6dcd1b2eea7</t>
  </si>
  <si>
    <t>&lt;p&gt;Export Date: 27 January 2025; Cited By: 56&lt;/p&gt; | RAYYAN-INCLUSION: {"Isobel"=&gt;"Excluded"}</t>
  </si>
  <si>
    <t>10.1016/j.biocon.2021.109065</t>
  </si>
  <si>
    <t>Agri-environment schemes;agroindustry;Austria;biodiversity;Conservation actions;conservation management;conservation status;decision making;ecosystem service;Ecosystem services;Germany;Implementation gaps;Knowledge exchange;perception;spatiotemporal analysis;Stakeholder perceptions;Transdisciplinary communication</t>
  </si>
  <si>
    <t>rayyan-153486598</t>
  </si>
  <si>
    <t>Evidence-based decision-making in Canadaâ€™s protected areas organizations: Implications for management effectiveness</t>
  </si>
  <si>
    <t>392-414</t>
  </si>
  <si>
    <t>Lemieux, C.J. and Groulx, M.W. and Bocking, S. and Beechey, T.J.</t>
  </si>
  <si>
    <t>https://www.scopus.com/inward/record.uri?eid=2-s2.0-85047222589&amp;doi=10.1139%2ffacets-2017-0107&amp;partnerID=40&amp;md5=cad41eb06231b5449fa82b9777ae301b</t>
  </si>
  <si>
    <t>&lt;p&gt;Export Date: 27 January 2025; Cited By: 34&lt;/p&gt; | RAYYAN-INCLUSION: {"Alice"=&gt;"Included"}</t>
  </si>
  <si>
    <t>10.1139/facets-2017-0107</t>
  </si>
  <si>
    <t>Biodiversity;Conservation;Decision-making;Evidence;Management effectiveness;Protected areas</t>
  </si>
  <si>
    <t>rayyan-153486599</t>
  </si>
  <si>
    <t>Ecology, politics and policy</t>
  </si>
  <si>
    <t>465-474</t>
  </si>
  <si>
    <t>Lawton, J.H.</t>
  </si>
  <si>
    <t>https://www.scopus.com/inward/record.uri?eid=2-s2.0-34249092675&amp;doi=10.1111%2fj.1365-2664.2007.01315.x&amp;partnerID=40&amp;md5=f2ab5739411f5981d24a0904291be538</t>
  </si>
  <si>
    <t>&lt;p&gt;Export Date: 27 January 2025; Cited By: 117&lt;/p&gt; | RAYYAN-INCLUSION: {"Philip"=&gt;"Excluded", "Tabitha"=&gt;"Excluded", "Prishnee"=&gt;"Excluded", "Valentin"=&gt;"Excluded", "fereshteh"=&gt;"Excluded", "Aidan"=&gt;"Excluded", "Nibedita"=&gt;"Excluded", "Isobel"=&gt;"Excluded"}</t>
  </si>
  <si>
    <t>10.1111/j.1365-2664.2007.01315.x</t>
  </si>
  <si>
    <t>acid deposition;Acid deposition;carbon dioxide;Carbon dioxide;climate change;decision making;environmental education;environmental policy;environmental protection;Eurasia;Europe;European Union;fishery;GM crops;Marine fisheries;marine resource;Policy formulation;research work;state role;United Kingdom;Western Europe</t>
  </si>
  <si>
    <t>rayyan-153486600</t>
  </si>
  <si>
    <t>How to close the science-practice gap in nature conservation? Information sources used by practitioners</t>
  </si>
  <si>
    <t>93-101</t>
  </si>
  <si>
    <t>Fabian, Y. and Bollmann, K. and Brang, P. and Heiri, C. and Olschewski, R. and Rigling, A. and Stofer, S. and Holderegger, R.</t>
  </si>
  <si>
    <t>https://www.scopus.com/inward/record.uri?eid=2-s2.0-85064643357&amp;doi=10.1016%2fj.biocon.2019.04.011&amp;partnerID=40&amp;md5=1d8a26ea7c3bf5c5843034f7433db39e</t>
  </si>
  <si>
    <t>&lt;p&gt;Export Date: 27 January 2025; Cited By: 65&lt;/p&gt; | RAYYAN-INCLUSION: {"Iris"=&gt;"Included"}</t>
  </si>
  <si>
    <t>10.1016/j.biocon.2019.04.011</t>
  </si>
  <si>
    <t>conservation management;Evidence-based conservation;Expert knowledge;forest ecosystem;Implementation articles;knowledge;Knowledge transfer;nature conservation;Outreach;Scientific articles;Survey;survey method</t>
  </si>
  <si>
    <t>rayyan-153486605</t>
  </si>
  <si>
    <t>Research for decision-making in marine protected areas such as Isla del Coco, Costa Rica</t>
  </si>
  <si>
    <t>Revista de Biologia Tropical</t>
  </si>
  <si>
    <t>S1-S17</t>
  </si>
  <si>
    <t>ChacÃ³n, I.S. and Soley, F.G.</t>
  </si>
  <si>
    <t>https://www.scopus.com/inward/record.uri?eid=2-s2.0-85090736354&amp;doi=10.15517%2frbt.v68iS1.41126&amp;partnerID=40&amp;md5=45dd42941cf9db487d1559123c84616b</t>
  </si>
  <si>
    <t>10.15517/rbt.v68iS1.41126</t>
  </si>
  <si>
    <t>Biodiversity threats;Biological monitoring;Conservation politics;Conservation research;Fishing overexploitation;Pelagic species</t>
  </si>
  <si>
    <t>rayyan-153486618</t>
  </si>
  <si>
    <t>Best of both worlds: Combining ecological and social research to inform conservation decisions in a Neotropical biodiversity hotspot</t>
  </si>
  <si>
    <t>Ferraz, K.M.P.M.D.B. and Marchini, S. and Bogoni, J.A. and Paolino, R.M. and Landis, M. and Fusco-Costa, R. and Magioli, M. and Munhoes, L.P. and Saranholi, B.H. and Ribeiro, Y.G.G. and Domini, J.A.D. and Magezi, G.S. and Gebin, J.C.Z. and Ermenegildo, H. and Galetti Junior, P.M. and Galetti, M. and Zimmermann, A. and Chiarello, A.G.</t>
  </si>
  <si>
    <t>https://www.scopus.com/inward/record.uri?eid=2-s2.0-85124617606&amp;doi=10.1016%2fj.jnc.2022.126146&amp;partnerID=40&amp;md5=2f701f3b35f16b3deb4a7aac464586ac</t>
  </si>
  <si>
    <t>&lt;p&gt;Export Date: 27 January 2025; Cited By: 3&lt;/p&gt; | RAYYAN-INCLUSION: {"Alec"=&gt;"Excluded"}</t>
  </si>
  <si>
    <t>10.1016/j.jnc.2022.126146</t>
  </si>
  <si>
    <t>Atlantic Forest;biodiversity;conservation management;Conservation planning;decision making;ecological approach;environmental assessment;environmental research;interdisciplinary approach;Interdisciplinary research;Mammal diversity;Multi-criteria decision-making;multicriteria analysis;Neotropical Region;research work;Social research</t>
  </si>
  <si>
    <t>rayyan-153486624</t>
  </si>
  <si>
    <t>Practitioner approaches to trade-off decision-making in marine conservation development</t>
  </si>
  <si>
    <t>1636-1648</t>
  </si>
  <si>
    <t>Fortnam, M. and Chaigneau, T. and Evans, L. and Bastian, L.</t>
  </si>
  <si>
    <t>https://www.scopus.com/inward/record.uri?eid=2-s2.0-85169155006&amp;doi=10.1002%2fpan3.10530&amp;partnerID=40&amp;md5=efd49e31f186f14861553fac187bca84</t>
  </si>
  <si>
    <t>&lt;p&gt;Export Date: 27 January 2025; Cited By: 5&lt;/p&gt; | RAYYAN-INCLUSION: {"Sarah"=&gt;"Included"}</t>
  </si>
  <si>
    <t>10.1002/pan3.10530</t>
  </si>
  <si>
    <t>conservation development;decision-making;justice;marine governance;trade-offs</t>
  </si>
  <si>
    <t>rayyan-153486625</t>
  </si>
  <si>
    <t>Non-binding Restrictions, Cooperation, and Coral Reef Protection: Experimental Evidence from Indonesian Fishing Communities</t>
  </si>
  <si>
    <t>62-71</t>
  </si>
  <si>
    <t>Gallier, C. and Langbein, J. and Vance, C.</t>
  </si>
  <si>
    <t>https://www.scopus.com/inward/record.uri?eid=2-s2.0-85045554044&amp;doi=10.1016%2fj.ecolecon.2018.03.006&amp;partnerID=40&amp;md5=ed21562a710945009b92cc3458c73104</t>
  </si>
  <si>
    <t>10.1016/j.ecolecon.2018.03.006</t>
  </si>
  <si>
    <t>Anthozoa;Common-pool resource;Compliance;cooperative sector;coral reef;decision making;environmental monitoring;environmental protection;experimental study;fishing community;Framed field experiment;human rights;Indonesia;law enforcement;leadership;resource management;Territorial use rights;territoriality</t>
  </si>
  <si>
    <t>rayyan-153486639</t>
  </si>
  <si>
    <t>Engagement in the digital age: Understanding â€œwhat worksâ€ for participatory technologies in environmental decision-making</t>
  </si>
  <si>
    <t>Hafferty, C. and Reed, M.S. and Brockett, B.F.T. and Orford, S. and Berry, R. and Short, C. and Davis, J.</t>
  </si>
  <si>
    <t>https://www.scopus.com/inward/record.uri?eid=2-s2.0-85196180067&amp;doi=10.1016%2fj.jenvman.2024.121365&amp;partnerID=40&amp;md5=e4a593125dde0519f13bf36edfd7cb0f</t>
  </si>
  <si>
    <t>&lt;p&gt;Export Date: 27 January 2025; Cited By: 3&lt;/p&gt; | RAYYAN-INCLUSION: {"Iris"=&gt;"Excluded"}</t>
  </si>
  <si>
    <t>10.1016/j.jenvman.2024.121365</t>
  </si>
  <si>
    <t>age;article;conceptual framework;Conservation of Natural Resources;decision making;Decision making;Decision Making;Decision theory;Decision-making;Decision-making process;Decisions makings;Digital;Digital age;Digital devices;digital technology;Digital Technology;Digital tools;digitization;engagement;Engagement;environmental decision making;Environmental decision making;environmental protection;Environmental technology;evidence gap;human;Humans;interview;local participation;male;participatory approach;Philosophical aspects;physician;Practitioner;Practitioners;procedures;social interaction;sustainability;theory;Theory;United kingdom;United Kingdom</t>
  </si>
  <si>
    <t>rayyan-153486641</t>
  </si>
  <si>
    <t>Ecosystem-based MSP for enhanced fisheries sustainability: An example from the northern adriatic (Chioggia-Venice and Rovigo, Italy)</t>
  </si>
  <si>
    <t>Farella, G. and Tassetti, A.N. and Menegon, S. and Bocci, M. and FerrÃ , C. and Grati, F. and Fadini, A. and Giovanardi, O. and Fabi, G. and Raicevich, S. and Barbanti, A.</t>
  </si>
  <si>
    <t>https://www.scopus.com/inward/record.uri?eid=2-s2.0-85100080054&amp;doi=10.3390%2fsu13031211&amp;partnerID=40&amp;md5=98b8588f096cb38c888f6ba934f12825</t>
  </si>
  <si>
    <t>&lt;p&gt;Export Date: 27 January 2025; Cited By: 15&lt;/p&gt; | RAYYAN-INCLUSION: {"Tabitha"=&gt;"Excluded"}</t>
  </si>
  <si>
    <t>10.3390/su13031211</t>
  </si>
  <si>
    <t>action plan;Adriatic sea;Adriatic Sea;Automatic identification system-ais;biodiversity;Chioggia;Cumulative effects assessment;Ecosystem-based management;Fisheries;Fishing activities;habitat fragmentation;human activity;Italy;local government;marine ecosystem;Maritime spatial planning;Matthiola;Mediterranean Sea;research work;Rovigo;spatial planning;stakeholder;Stakeholder;sustainability;Veneto;Venezia [Veneto];Venice</t>
  </si>
  <si>
    <t>rayyan-153486642</t>
  </si>
  <si>
    <t>Science, information, and policy interface for effective coastal and ocean management</t>
  </si>
  <si>
    <t>Science, Information, and Policy Interface for Effective Coastal and Ocean Management</t>
  </si>
  <si>
    <t>MacDonald, B.H. and Soomai, S.S. and De Santo, E.M. and Wells, P.G.</t>
  </si>
  <si>
    <t>https://www.scopus.com/inward/record.uri?eid=2-s2.0-85015380193&amp;partnerID=40&amp;md5=ed4493bb18c88f9e9d13ba879a34d5d4</t>
  </si>
  <si>
    <t>&lt;p&gt;Export Date: 27 January 2025; Cited By: 24&lt;/p&gt; | RAYYAN-INCLUSION: {"Philip"=&gt;"Excluded", "Prishnee"=&gt;"Excluded"}</t>
  </si>
  <si>
    <t>rayyan-153486647</t>
  </si>
  <si>
    <t>Reducing publication delay to improve the efficiency and impact of conservation science</t>
  </si>
  <si>
    <t>PeerJ</t>
  </si>
  <si>
    <t>Christie, A.P. and White, T.B. and Martin, P.A. and Petrovan, S.O. and Bladon, A.J. and Bowkett, A.E. and Littlewood, N.A. and Mupepele, A.-C. and Rocha, R. and Sainsbury, K.A. and Smith, R.K. and Taylor, N.G. and Sutherland, W.J.</t>
  </si>
  <si>
    <t>https://www.scopus.com/inward/record.uri?eid=2-s2.0-85117684710&amp;doi=10.7717%2fpeerj.12245&amp;partnerID=40&amp;md5=8226a208d472394a29205a94267a7376</t>
  </si>
  <si>
    <t>&lt;p&gt;Export Date: 27 January 2025; Cited By: 25&lt;/p&gt; | RAYYAN-INCLUSION: {"Philip"=&gt;"Excluded", "Aidan"=&gt;"Excluded"}</t>
  </si>
  <si>
    <t>10.7717/peerj.12245</t>
  </si>
  <si>
    <t>accuracy;amphibian conservation;aquaculture;Article;bat conservation;bee conservation;conservation biology;Conservation evidence;Conservation science;data base;endangered species;Evidence-based;International Union for Conservation of Nature;invasive species;Journal delay;mammal conservation;Medline;nonhuman;peer review;Peer-review;primate conservation;publication delay;Publication delay;Publication speed;publishing;Science-policy gap;Science-practice gap;scientific literature;sensitivity analysis;species conservation</t>
  </si>
  <si>
    <t>rayyan-153486649</t>
  </si>
  <si>
    <t>Your evidence or mine? Systematic evaluation of reviews of marine protected area effectiveness</t>
  </si>
  <si>
    <t>668-681</t>
  </si>
  <si>
    <t>Woodcock, P. and O'Leary, B.C. and Kaiser, M.J. and Pullin, A.S.</t>
  </si>
  <si>
    <t>https://www.scopus.com/inward/record.uri?eid=2-s2.0-85006307715&amp;doi=10.1111%2ffaf.12196&amp;partnerID=40&amp;md5=41af9b6310a26d74db11015b20240dfe</t>
  </si>
  <si>
    <t>&lt;p&gt;Export Date: 27 January 2025; Cited By: 50&lt;/p&gt; | RAYYAN-INCLUSION: {"Alice"=&gt;"Excluded"}</t>
  </si>
  <si>
    <t>10.1111/faf.12196</t>
  </si>
  <si>
    <t>abundance;age;biodiversity;Biodiversity conservation;CEESAT;decision making;evidence base;evidence review;evidence synthesis;fish;literature review;marine environment;perception;protected area;research;review evaluation;size;strategic approach</t>
  </si>
  <si>
    <t>rayyan-153486656</t>
  </si>
  <si>
    <t>Identifying opportunities to deliver effective and efficient outcomes from business-biodiversity action</t>
  </si>
  <si>
    <t>221-231</t>
  </si>
  <si>
    <t>White, T.B. and Mukherjee, N. and Petrovan, S.O. and Sutherland, W.J.</t>
  </si>
  <si>
    <t>https://www.scopus.com/inward/record.uri?eid=2-s2.0-85144630198&amp;doi=10.1016%2fj.envsci.2022.12.003&amp;partnerID=40&amp;md5=c6f84873344fe241a3865c1aaed2da34</t>
  </si>
  <si>
    <t>&lt;p&gt;Export Date: 27 January 2025; Cited By: 13&lt;/p&gt; | RAYYAN-INCLUSION: {"Alec"=&gt;"Included"}</t>
  </si>
  <si>
    <t>10.1016/j.envsci.2022.12.003</t>
  </si>
  <si>
    <t>article;biodiversity;Business-biodiversity;certification;consultation;cost effectiveness analysis;Cost-effectiveness;decision making;ESG;Evidence-based decision making;human;Impact mitigation;mitigation;policy implementation;semi structured interview;standard (regulation)</t>
  </si>
  <si>
    <t>rayyan-153486661</t>
  </si>
  <si>
    <t>The role of non-English-language science in informing national biodiversity assessments</t>
  </si>
  <si>
    <t>Nature Sustainability</t>
  </si>
  <si>
    <t>845-854</t>
  </si>
  <si>
    <t>Amano, T. and Berdejo-Espinola, V. and Akasaka, M. and de Andrade Junior, M.A.U. and Blaise, N. and Checco, J. and Ã‡ilingir, F.G. and Citegetse, G. and Corella Tor, M. and Drobniak, S.M. and Giakoumi, S. and Golivets, M. and Ion, M.C. and Jara-DÃ­az, J.P. and Katayose, R. and Lasmana, F.P.S. and Lin, H.-Y. and Lopez, E. and Mikula, P. and Morales-Barquero, L. and Mupepele, A.-C. and NarvÃ¡ez-GÃ³mez, J.P. and Nguyen, T.H. and Lisboa, S.N. and NuÃ±ez, M.A. and PavÃ³n-JordÃ¡n, D. and Pottier, P. and Prescott, G.W. and Samad, F. and Å Ä‡iban, M. and Seo, H.-M. and Shinoda, Y. and Vajna, F. and Vozykova, S. and Walsh, J.C. and Wee, A.K.S. and Xiao, H. and Zamora-Gutierrez, V.</t>
  </si>
  <si>
    <t>https://www.scopus.com/inward/record.uri?eid=2-s2.0-85150078965&amp;doi=10.1038%2fs41893-023-01087-8&amp;partnerID=40&amp;md5=222ee9761bf4c0b73aa6c78d8b8a5bd3</t>
  </si>
  <si>
    <t>&lt;p&gt;Export Date: 27 January 2025; Cited By: 38&lt;/p&gt; | RAYYAN-INCLUSION: {"Philip"=&gt;"Included", "Prishnee"=&gt;"Included"}</t>
  </si>
  <si>
    <t>10.1038/s41893-023-01087-8</t>
  </si>
  <si>
    <t>Biodiversity;Decision making;Decisions makings;English languages;Knowledge sources;Machine translations;Non-English languages;Scientific evidence;Scientific literature;Sources of informations;Supplementary data;Use of English</t>
  </si>
  <si>
    <t>rayyan-153486669</t>
  </si>
  <si>
    <t>Environmental research and knowledge production within governmental organizations</t>
  </si>
  <si>
    <t>Research outside the Academy: Professional Knowledge-Making in the Digital Age</t>
  </si>
  <si>
    <t>21-50</t>
  </si>
  <si>
    <t>Macdonald, B.H. and Soomai, S.S.</t>
  </si>
  <si>
    <t>https://www.scopus.com/inward/record.uri?eid=2-s2.0-85064363888&amp;doi=10.1007%2f978-3-319-94177-6_2&amp;partnerID=40&amp;md5=2054803869beee6f5df02edebc9bc6b0</t>
  </si>
  <si>
    <t>&lt;p&gt;Export Date: 27 January 2025; Cited By: 6&lt;/p&gt; | RAYYAN-INCLUSION: {"Isobel"=&gt;"Excluded"}</t>
  </si>
  <si>
    <t>Environmental research Government-Based research Gray literature Information use Scienceâ€“policy i...</t>
  </si>
  <si>
    <t>rayyan-153486670</t>
  </si>
  <si>
    <t>Language barriers in conservation: consequences and solutions</t>
  </si>
  <si>
    <t>Amano, T. and Berdejo-Espinola, V.</t>
  </si>
  <si>
    <t>https://www.scopus.com/inward/record.uri?eid=2-s2.0-85212643211&amp;doi=10.1016%2fj.tree.2024.11.003&amp;partnerID=40&amp;md5=f4ffc5733ff8f8f71919d2d4f0bd8001</t>
  </si>
  <si>
    <t>10.1016/j.tree.2024.11.003</t>
  </si>
  <si>
    <t>equity;evidence synthesis;evidence-based decision making;inclusion;language bias</t>
  </si>
  <si>
    <t>rayyan-153486671</t>
  </si>
  <si>
    <t>Exploring and expanding the spaces between research and implementation in conservation science</t>
  </si>
  <si>
    <t>Maas, B. and Toomey, A. and Loyola, R.</t>
  </si>
  <si>
    <t>https://www.scopus.com/inward/record.uri?eid=2-s2.0-85074231126&amp;doi=10.1016%2fj.biocon.2019.108290&amp;partnerID=40&amp;md5=9e5ab697bf2ddee596097bddafbab12c</t>
  </si>
  <si>
    <t>&lt;p&gt;Export Date: 27 January 2025; Cited By: 34&lt;/p&gt; | RAYYAN-INCLUSION: {"Iris"=&gt;"Excluded"}</t>
  </si>
  <si>
    <t>10.1016/j.biocon.2019.108290</t>
  </si>
  <si>
    <t>Conservation management;Environmental policy;Knowing-doing gap;Knowledge exchange;Science policy;Transdisciplinarity</t>
  </si>
  <si>
    <t>rayyan-153486684</t>
  </si>
  <si>
    <t>â€˜The dissemination diamondâ€™ and paradoxes of science-to-science and science-to-policy communication: Lessons from large marine research programmes</t>
  </si>
  <si>
    <t>Elliott, M. and Snoeijs-Leijonmalm, P. and Barnard, S.</t>
  </si>
  <si>
    <t>https://www.scopus.com/inward/record.uri?eid=2-s2.0-85028840330&amp;doi=10.1016%2fj.marpolbul.2017.08.022&amp;partnerID=40&amp;md5=ae1851d787ca206a3bd0c642e973a90c</t>
  </si>
  <si>
    <t>10.1016/j.marpolbul.2017.08.022</t>
  </si>
  <si>
    <t>dissemination diamond;Editorial;evidence based decision making;evidence based practice;human;information processing;knowledge;marine environment;marine research;peer review;publication;research;science to policy communication;science to science communication</t>
  </si>
  <si>
    <t>rayyan-153486695</t>
  </si>
  <si>
    <t>Communicating scientific information to recreational fishers</t>
  </si>
  <si>
    <t>106-118</t>
  </si>
  <si>
    <t>Li, O. and Sutton, S.G. and Tynan, L.</t>
  </si>
  <si>
    <t>https://www.scopus.com/inward/record.uri?eid=2-s2.0-77951054760&amp;doi=10.1080%2f10871200903366939&amp;partnerID=40&amp;md5=01847236a0ab32130f600e28b8fd1f38</t>
  </si>
  <si>
    <t>&lt;p&gt;Export Date: 27 January 2025; Cited By: 18&lt;/p&gt; | RAYYAN-INCLUSION: {"Philip"=&gt;"Included", "Tabitha"=&gt;"Excluded", "Prishnee"=&gt;"Included", "Valentin"=&gt;"Excluded", "fereshteh"=&gt;"Excluded", "Aidan"=&gt;"Included", "Nibedita"=&gt;"Included", "Isobel"=&gt;"Excluded"}</t>
  </si>
  <si>
    <t>10.1080/10871200903366939</t>
  </si>
  <si>
    <t>Australia;Community engagement;Recreational fishers;Science communication;Science culture</t>
  </si>
  <si>
    <t>rayyan-153486696</t>
  </si>
  <si>
    <t>Telling stories to understand research impact: narratives from the Lenfest Ocean Program</t>
  </si>
  <si>
    <t>394-400</t>
  </si>
  <si>
    <t>Hudson, C.G. and Knight, E. and Close, S.L. and Landrum, J.P. and Bednarek, A. and Shouse, B.</t>
  </si>
  <si>
    <t>https://www.scopus.com/inward/record.uri?eid=2-s2.0-85152123556&amp;doi=10.1093%2ficesjms%2ffsac169&amp;partnerID=40&amp;md5=8cb57b2b48169005735be3e2308dd4e3</t>
  </si>
  <si>
    <t>&lt;p&gt;Export Date: 27 January 2025; Cited By: 5&lt;/p&gt; | RAYYAN-INCLUSION: {"Matthew"=&gt;"Excluded", "Elina"=&gt;"Excluded"}</t>
  </si>
  <si>
    <t>10.1093/icesjms/fsac169</t>
  </si>
  <si>
    <t>academic research;co-design;conservation management;decision making;design method;marine conservation;marine ecosystem;ocean;policy making;project design;project management;research impact;science policy;sustainable development</t>
  </si>
  <si>
    <t>rayyan-153486702</t>
  </si>
  <si>
    <t>Scientific research and information flow in the small-scale fisheries of the central Mexican Pacific coast</t>
  </si>
  <si>
    <t>AdÃ¡n, A.-F. and Castillo, A. and CÃ¡rdenas-Tapia, M. and Moreno-Casasola, P. and MarÃ­n, A.</t>
  </si>
  <si>
    <t>https://www.scopus.com/inward/record.uri?eid=2-s2.0-85091746228&amp;doi=10.1016%2fj.ocecoaman.2020.105324&amp;partnerID=40&amp;md5=f4f4ff6c30a1ff018de51360ac9c6c69</t>
  </si>
  <si>
    <t>&lt;p&gt;Export Date: 27 January 2025; Cited By: 7&lt;/p&gt; | RAYYAN-INCLUSION: {"Carlos"=&gt;"Excluded"}</t>
  </si>
  <si>
    <t>10.1016/j.ocecoaman.2020.105324</t>
  </si>
  <si>
    <t>Artisanal fisheries;Communication strategy;Decision making;Exchange and utilization of knowledge;Exchange of information;Fisheries;Fisheries management;Fishers' cooperatives;fishery management;Information dissemination;Information management;Jalisco;language;leadership;Mexico [North America];Pacific Coast [Mexico];Pacific Coast [North America];Research institutions;science and technology;Science communication;Scientific knowledge;Scientific researches;Small-scale fisheries;smallholder;Social appropriation of knowledge;social network;Social network analysis;Societal problems;Socio-ecological systems;Southern coast of jalisco;state role</t>
  </si>
  <si>
    <t>rayyan-153486735</t>
  </si>
  <si>
    <t>Support for decision making in conservation practice: An evidence-based approach</t>
  </si>
  <si>
    <t>83-90</t>
  </si>
  <si>
    <t>Pullin, A.S. and Knight, T.M.</t>
  </si>
  <si>
    <t>https://www.scopus.com/inward/record.uri?eid=2-s2.0-0041739035&amp;doi=10.1078%2f1617-1381-00040&amp;partnerID=40&amp;md5=a891e4d611a31df83bb09672f8695c51</t>
  </si>
  <si>
    <t>&lt;p&gt;Export Date: 27 January 2025; Cited By: 190&lt;/p&gt; | RAYYAN-INCLUSION: {"Philip"=&gt;"Excluded", "Nibedita"=&gt;"Excluded"}</t>
  </si>
  <si>
    <t>10.1078/1617-1381-00040</t>
  </si>
  <si>
    <t>Biodiveristy management;biodiversity;conservation management;Conservation management;Conservation policy;decision making;Decision support;Evidence-based practice</t>
  </si>
  <si>
    <t>rayyan-153486741</t>
  </si>
  <si>
    <t>Effective use of data from monitoring programs and field studies for conservation decision making: Predictions, designs and models working together</t>
  </si>
  <si>
    <t>Journal of Ornithology</t>
  </si>
  <si>
    <t>325-338</t>
  </si>
  <si>
    <t>Conroy, M.J. and Stodola, K.W. and Cooper, R.J.</t>
  </si>
  <si>
    <t>https://www.scopus.com/inward/record.uri?eid=2-s2.0-84859266424&amp;doi=10.1007%2fs10336-011-0687-0&amp;partnerID=40&amp;md5=e4df030a13cd5bcb27e761824f20a365</t>
  </si>
  <si>
    <t>&lt;p&gt;Export Date: 27 January 2025; Cited By: 7&lt;/p&gt; | RAYYAN-INCLUSION: {"Alice"=&gt;"Excluded"}</t>
  </si>
  <si>
    <t>10.1007/s10336-011-0687-0</t>
  </si>
  <si>
    <t>adaptive management;Adaptive management;Aves;Bayesian analysis;bird;Birds;climate change;Climate change;conservation management;decision making;ecological approach;ecological modeling;Models;monitoring system;North America;prediction;Prediction;species richness;terrestrial environment;theoretical study</t>
  </si>
  <si>
    <t>rayyan-153486749</t>
  </si>
  <si>
    <t>Ten simple rules to facilitate evidence implementation in the environmental sciences</t>
  </si>
  <si>
    <t>642-650</t>
  </si>
  <si>
    <t>Lortie, C.J. and Owen, M.</t>
  </si>
  <si>
    <t>https://www.scopus.com/inward/record.uri?eid=2-s2.0-85091429345&amp;doi=10.1139%2fFACETS-2020-0021&amp;partnerID=40&amp;md5=e804aba64a13e0453f05e5f75a75e8d9</t>
  </si>
  <si>
    <t>&lt;p&gt;Export Date: 27 January 2025; Cited By: 5&lt;/p&gt; | RAYYAN-INCLUSION: {"Prishnee"=&gt;"Excluded", "Iris"=&gt;"Excluded"}</t>
  </si>
  <si>
    <t>10.1139/FACETS-2020-0021</t>
  </si>
  <si>
    <t>Challenges;Conservation;Decision making;Environmental challenges;Evidence;Implementation;Scientific knowledge;Simple rules</t>
  </si>
  <si>
    <t>rayyan-153486750</t>
  </si>
  <si>
    <t>Integrating science into management of ecosystems in the greater blue mountains</t>
  </si>
  <si>
    <t>659-674</t>
  </si>
  <si>
    <t>Chapple, R.S. and Ramp, D. and Bradstock, R.A. and Kingsford, R.T. and Merson, J.A. and Auld, T.D. and Fleming, P.J.S. and Mulley, R.C.</t>
  </si>
  <si>
    <t>https://www.scopus.com/inward/record.uri?eid=2-s2.0-80054764041&amp;doi=10.1007%2fs00267-011-9721-5&amp;partnerID=40&amp;md5=36ff506e5020f5dbe4cf8b5301f69aff</t>
  </si>
  <si>
    <t>&lt;p&gt;Export Date: 27 January 2025; Cited By: 18&lt;/p&gt; | RAYYAN-INCLUSION: {"Philip"=&gt;"Excluded", "Prishnee"=&gt;"Included"}</t>
  </si>
  <si>
    <t>10.1007/s00267-011-9721-5</t>
  </si>
  <si>
    <t>adaptive management;Adaptive management;Adaptive Management;Animals;Animals, Wild;article;Australia;biodiversity;Biodiversity;Biodiversity conservation;Bushfire management;Canis familiaris;complexity;Conservation;conservation management;Conservation of Natural Resources;decision making;Decision making;Decision Making, Organizational;dog;Dogs;Ecosystem;ecosystem management;environmental management;environmental planning;environmental protection;Environmental protection;fire;fire management;Fires;geography;government;Information Dissemination;knowledge;Knowledge generation and uptake;Landforms;law;mountain environment;New South Wales;nonhuman;Organization and Administration;Planning Techniques;Project management;protected area;Protected area management;Research;science;stakeholder;state role;Sydney [New South Wales];wild species;Wild-dog management;World Heritage Site</t>
  </si>
  <si>
    <t>rayyan-153486752</t>
  </si>
  <si>
    <t>From ocean sprawl to blue-green infrastructure â€“ A UK perspective on an issue of global significance</t>
  </si>
  <si>
    <t>60-69</t>
  </si>
  <si>
    <t>Evans, A.J. and Firth, L.B. and Hawkins, S.J. and Hall, A.E. and Ironside, J.E. and Thompson, R.C. and Moore, P.J.</t>
  </si>
  <si>
    <t>https://www.scopus.com/inward/record.uri?eid=2-s2.0-85055730552&amp;doi=10.1016%2fj.envsci.2018.09.008&amp;partnerID=40&amp;md5=b99e5a0532bc6df2961d464e7905d55d</t>
  </si>
  <si>
    <t>&lt;p&gt;Export Date: 27 January 2025; Cited By: 61&lt;/p&gt; | RAYYAN-INCLUSION: {"Sarah"=&gt;"Excluded"}</t>
  </si>
  <si>
    <t>10.1016/j.envsci.2018.09.008</t>
  </si>
  <si>
    <t>article;Artificial structures;biodiversity;Biodiversity enhancement;Conservation;decision making;Ecological engineering;Marine management;proof of concept;Science-policy interface;sea</t>
  </si>
  <si>
    <t>rayyan-153486753</t>
  </si>
  <si>
    <t>Applying Governance Principles to Systematic Conservation Decision-Making in Queensland</t>
  </si>
  <si>
    <t>452-467</t>
  </si>
  <si>
    <t>Kim, M.K. and Evans, L. and Scherl, L.M. and Marsh, H.</t>
  </si>
  <si>
    <t>https://www.scopus.com/inward/record.uri?eid=2-s2.0-84992220769&amp;doi=10.1002%2feet.1731&amp;partnerID=40&amp;md5=4af82fedd5d39c147f7e86aad089b9a6</t>
  </si>
  <si>
    <t>&lt;p&gt;Export Date: 27 January 2025; Cited By: 8&lt;/p&gt; | RAYYAN-INCLUSION: {"Philip"=&gt;"Included", "Aidan"=&gt;"Included"}</t>
  </si>
  <si>
    <t>10.1002/eet.1731</t>
  </si>
  <si>
    <t>Australia;conservation planning;decision making;governance;governance approach;participation;participatory approach;perception;planning process;prioritization;Queensland;stakeholder;uptake;users</t>
  </si>
  <si>
    <t>rayyan-153486762</t>
  </si>
  <si>
    <t>Beliefs in Conflict: The Management of Teno Atlantic Salmon in the SÃ¡mi Homeland in Finland</t>
  </si>
  <si>
    <t>1039-1058</t>
  </si>
  <si>
    <t>HiedanpÃ¤Ã¤, J. and Saijets, J. and Jounela, P. and Jokinen, M. and Sarkki, S.</t>
  </si>
  <si>
    <t>https://www.scopus.com/inward/record.uri?eid=2-s2.0-85095126572&amp;doi=10.1007%2fs00267-020-01374-6&amp;partnerID=40&amp;md5=d59bcc9ebd0ea02612f6a897b12019be</t>
  </si>
  <si>
    <t>&lt;p&gt;Export Date: 27 January 2025; Cited By: 9&lt;/p&gt; | RAYYAN-INCLUSION: {"Elina"=&gt;"Excluded"}</t>
  </si>
  <si>
    <t>10.1007/s00267-020-01374-6</t>
  </si>
  <si>
    <t>anger;animal;Animals;article;Atlantic salmon;decision making;Decision making;Economic opportunities;Europe;Evidence- based decisions;Finland;Fisheries;fishery management;fishing;human;Humans;knowledge management;Knowledge management;Knowledge requirements;nonhuman;Norway;population group;Population Groups;river;river system;Rivers;Salmo salar;salmonid;self organizing map;Self organizing maps;Teno river;Teno River;tension;tourism;traditional knowledge;Traditional knowledge</t>
  </si>
  <si>
    <t>rayyan-153486765</t>
  </si>
  <si>
    <t>Why facts don't change minds: Insights from cognitive science for the improved communication of conservation research</t>
  </si>
  <si>
    <t>Toomey, A.H.</t>
  </si>
  <si>
    <t>https://www.scopus.com/inward/record.uri?eid=2-s2.0-85146042846&amp;doi=10.1016%2fj.biocon.2022.109886&amp;partnerID=40&amp;md5=8ce0888f0223a8eaeaa81c0ae31c49ca</t>
  </si>
  <si>
    <t>&lt;p&gt;Export Date: 27 January 2025; Cited By: 49&lt;/p&gt; | RAYYAN-INCLUSION: {"Elina"=&gt;"Excluded", "Alec"=&gt;"Excluded"}</t>
  </si>
  <si>
    <t>10.1016/j.biocon.2022.109886</t>
  </si>
  <si>
    <t>Behavioral science;brain;cognition;Cognitive science;communication;conservation management;decision making;Evidence-based conservation;literacy;public attitude;Research impact;research work;Research-implementation spaces</t>
  </si>
  <si>
    <t>rayyan-153486766</t>
  </si>
  <si>
    <t>Environmental DNA (eDNA) applications in freshwater fisheries management and conservation in Canada: overview of current challenges and opportunities</t>
  </si>
  <si>
    <t>1170-1186</t>
  </si>
  <si>
    <t>Bernos, T.A. and Yates, M.C. and Docker, M.F. and Fitzgerald, A. and Hanner, R. and Heath, D. and Imrit, A. and Livernois, J. and Myler, E. and Patel, K. and Sharma, S. and Young, R. and Mandrak, N.E.</t>
  </si>
  <si>
    <t>https://www.scopus.com/inward/record.uri?eid=2-s2.0-85166169124&amp;doi=10.1139%2fcjfas-2022-0162&amp;partnerID=40&amp;md5=369a9a1b63b50893eb33a536e5083e2b</t>
  </si>
  <si>
    <t>&lt;p&gt;Export Date: 27 January 2025; Cited By: 5&lt;/p&gt; | RAYYAN-INCLUSION: {"Aidan"=&gt;"Excluded"}</t>
  </si>
  <si>
    <t>10.1139/cjfas-2022-0162</t>
  </si>
  <si>
    <t>Canada;conservation status;detection method;fishery management;freshwater environment;metabarcoding;monitoring;polymerase chain reaction;qPCR;species detection</t>
  </si>
  <si>
    <t>rayyan-153486770</t>
  </si>
  <si>
    <t>Assessing Stakeholder Perspectives on the Impacts of a Decade of Collaborative Fisheries Research in the Gulf of Maine and Georges Bank</t>
  </si>
  <si>
    <t>Marine and Coastal Fisheries</t>
  </si>
  <si>
    <t>205-216</t>
  </si>
  <si>
    <t>Feeney, R.G. and la Valley, K.J. and Hall-Arber, M.</t>
  </si>
  <si>
    <t>https://www.scopus.com/inward/record.uri?eid=2-s2.0-80053210133&amp;doi=10.1577%2fC09-038.1&amp;partnerID=40&amp;md5=c46e3c2038b8abcfcd6479e140c89278</t>
  </si>
  <si>
    <t>&lt;p&gt;Export Date: 27 January 2025; Cited By: 14&lt;/p&gt; | RAYYAN-INCLUSION: {"Carlos"=&gt;"Excluded", "Elina"=&gt;"Excluded"}</t>
  </si>
  <si>
    <t>10.1577/C09-038.1</t>
  </si>
  <si>
    <t>rayyan-153486789</t>
  </si>
  <si>
    <t>Threshold models in restoration and conservation: a developing framework</t>
  </si>
  <si>
    <t>271-279</t>
  </si>
  <si>
    <t>Suding, K.N. and Hobbs, R.J.</t>
  </si>
  <si>
    <t>https://www.scopus.com/inward/record.uri?eid=2-s2.0-64749093619&amp;doi=10.1016%2fj.tree.2008.11.012&amp;partnerID=40&amp;md5=703c911da9cb92b78ee7461b07536293</t>
  </si>
  <si>
    <t>&lt;p&gt;Export Date: 27 January 2025; Cited By: 547&lt;/p&gt; | RAYYAN-INCLUSION: {"Nibedita"=&gt;"Excluded", "Isobel"=&gt;"Excluded"}</t>
  </si>
  <si>
    <t>10.1016/j.tree.2008.11.012</t>
  </si>
  <si>
    <t>animal;Animals;anthropogenic effect;biological model;Conservation of Natural Resources;decision making;ecosystem;Ecosystem;environmental modeling;environmental protection;environmental restoration;methodology;Models, Biological;nature conservation;review</t>
  </si>
  <si>
    <t>rayyan-153486790</t>
  </si>
  <si>
    <t>Use of evidence for decision-making by conservation practitioners in the illegal wildlife trade</t>
  </si>
  <si>
    <t>1110-1126</t>
  </si>
  <si>
    <t>Arias, M. and Hinsley, A. and Milner-Gulland, E.J.</t>
  </si>
  <si>
    <t>https://www.scopus.com/inward/record.uri?eid=2-s2.0-85115845892&amp;doi=10.1002%2fpan3.10258&amp;partnerID=40&amp;md5=40826c59965adfc28b5de6dfe4957c9f</t>
  </si>
  <si>
    <t>&lt;p&gt;Export Date: 27 January 2025; Cited By: 1&lt;/p&gt; | RAYYAN-INCLUSION: {"Nibedita"=&gt;"Included", "Isobel"=&gt;"Excluded"}</t>
  </si>
  <si>
    <t>10.1002/pan3.10258</t>
  </si>
  <si>
    <t>rayyan-153486794</t>
  </si>
  <si>
    <t>Considering cost alongside the effectiveness of management in evidence-based conservation: A systematic reporting protocol</t>
  </si>
  <si>
    <t>508-516</t>
  </si>
  <si>
    <t>Cook, C.N. and Pullin, A.S. and Sutherland, W.J. and Stewart, G.B. and Carrasco, L.R.</t>
  </si>
  <si>
    <t>https://www.scopus.com/inward/record.uri?eid=2-s2.0-85016796340&amp;doi=10.1016%2fj.biocon.2017.03.022&amp;partnerID=40&amp;md5=72ea9f195fe537d9989b02119e2a9569</t>
  </si>
  <si>
    <t>&lt;p&gt;Export Date: 27 January 2025; Cited By: 49&lt;/p&gt; | RAYYAN-INCLUSION: {"Prishnee"=&gt;"Excluded", "Aidan"=&gt;"Excluded"}</t>
  </si>
  <si>
    <t>10.1016/j.biocon.2017.03.022</t>
  </si>
  <si>
    <t>Conservation decisions;Cost-benefit;Cost-utility;Evidence-based medicine;Practitioners;Sensitivity analysis;Testudines</t>
  </si>
  <si>
    <t>rayyan-153486797</t>
  </si>
  <si>
    <t>The ecosystem approach to fisheries management in the USA</t>
  </si>
  <si>
    <t>The Ecosystem Approach to Fisheries</t>
  </si>
  <si>
    <t>301-308</t>
  </si>
  <si>
    <t>Tromble, G.R.</t>
  </si>
  <si>
    <t>https://www.scopus.com/inward/record.uri?eid=2-s2.0-84890302646&amp;partnerID=40&amp;md5=101f4d17642d5214c72498e3b60ba9f4</t>
  </si>
  <si>
    <t>&lt;p&gt;Export Date: 27 January 2025; Cited By: 6&lt;/p&gt; | RAYYAN-INCLUSION: {"Alec"=&gt;"Excluded"}</t>
  </si>
  <si>
    <t>rayyan-153486800</t>
  </si>
  <si>
    <t>Technology and science in service of US oceans, coasts and great lakes</t>
  </si>
  <si>
    <t>Sea Technology</t>
  </si>
  <si>
    <t>Holdren, J.P.</t>
  </si>
  <si>
    <t>https://www.scopus.com/inward/record.uri?eid=2-s2.0-84872295526&amp;partnerID=40&amp;md5=fe464f2e0b3cb03132316286404de8c4</t>
  </si>
  <si>
    <t>biotechnology;coastal zone;Core values;decision making;ecosystem health;Ecosystem health;environmental protection;Great lakes;Great Lakes [North America];Lakes;Mapping capabilities;marine environment;marine policy;marine technology;national security;National security;Observation systems;Observational data;Ocean observations;Oceanography;policy implementation;Renewable energies;renewable resource;Resource use;Safety at sea;science and technology;Scientific information;sustainable development;United States;Weather and climate forecasts;weather forecasting</t>
  </si>
  <si>
    <t>rayyan-153486802</t>
  </si>
  <si>
    <t>Systems identification and the adaptive management of waterfowl in the United States</t>
  </si>
  <si>
    <t>223-236</t>
  </si>
  <si>
    <t>Williams, B.K. and Nichols, J.D.</t>
  </si>
  <si>
    <t>https://www.scopus.com/inward/record.uri?eid=2-s2.0-0034784574&amp;doi=10.2981%2fwlb.2001.027&amp;partnerID=40&amp;md5=30a958502c4ded83718404f478cb2cc1</t>
  </si>
  <si>
    <t>&lt;p&gt;Export Date: 27 January 2025; Cited By: 8&lt;/p&gt; | RAYYAN-INCLUSION: {"Philip"=&gt;"Excluded", "Aidan"=&gt;"Excluded"}</t>
  </si>
  <si>
    <t>10.2981/wlb.2001.027</t>
  </si>
  <si>
    <t>Adaptive management;Anas;Anatidae;Anser;Dynamic optimization;Harvest;Mallards;Population models;Sport hunting;Waterfowl</t>
  </si>
  <si>
    <t>rayyan-153486809</t>
  </si>
  <si>
    <t>Insights on the use of decision-support tools to sustain forest ecosystems from a case study in Pennsylvania, USA</t>
  </si>
  <si>
    <t>Journal of Forestry</t>
  </si>
  <si>
    <t>391-395</t>
  </si>
  <si>
    <t>Rittenhouse, J. and Leites, L. and Derham, K. and Miller, S.</t>
  </si>
  <si>
    <t>https://www.scopus.com/inward/record.uri?eid=2-s2.0-85049858491&amp;doi=10.1093%2fjofore%2ffvy016&amp;partnerID=40&amp;md5=f7f2fa1605c3e8c8da39e387b70a773d</t>
  </si>
  <si>
    <t>&lt;p&gt;Export Date: 27 January 2025; Cited By: 0&lt;/p&gt; | RAYYAN-INCLUSION: {"Philip"=&gt;"Included"}</t>
  </si>
  <si>
    <t>10.1093/jofore/fvy016</t>
  </si>
  <si>
    <t>Conservation;decision making;Decision making;Decision Making;Decision support models;decision support system;Decision support systems;Decision support tools;Delivery methods;Department of Conservation;Ecological decision-making;Ecosystems;Evidence-based management;Evidence-based managements;forest ecosystem;forest management;Forest management;Forestry;Management process;Managers;Mixed-oak forests;Natural resources management;Pennsylvania;State-dependent;State-dependent management;Structured decisionmaking;United States;USA</t>
  </si>
  <si>
    <t>rayyan-153486811</t>
  </si>
  <si>
    <t>What drives policy decision-making related to species conservation?</t>
  </si>
  <si>
    <t>1370-1380</t>
  </si>
  <si>
    <t>MartÃ­n-LÃ³pez, B. and Montes, C. and RamÃ­rez, L. and Benayas, J.</t>
  </si>
  <si>
    <t>https://www.scopus.com/inward/record.uri?eid=2-s2.0-67349267759&amp;doi=10.1016%2fj.biocon.2009.01.030&amp;partnerID=40&amp;md5=08c365e35fee2dbc10bddaf19f8a3967</t>
  </si>
  <si>
    <t>&lt;p&gt;Export Date: 27 January 2025; Cited By: 157&lt;/p&gt; | RAYYAN-INCLUSION: {"Carlos"=&gt;"Excluded"}</t>
  </si>
  <si>
    <t>10.1016/j.biocon.2009.01.030</t>
  </si>
  <si>
    <t>biodiversity;Biodiversity;conservation planning;Conservation policy;decision making;endangered species;Endangered species;environmental policy;Eurasia;Europe;perception;policy analysis;public attitude;Public perception;public spending;Research funding;Scientific information;Southern Europe;Spain;species conservation</t>
  </si>
  <si>
    <t>rayyan-153486814</t>
  </si>
  <si>
    <t>Sharing victories: Characteristics of collaborative strategies of environmental non-governmental organizations in Canadian marine conservation</t>
  </si>
  <si>
    <t>Cadman, R. and MacDonald, B.H. and Soomai, S.S.</t>
  </si>
  <si>
    <t>https://www.scopus.com/inward/record.uri?eid=2-s2.0-85079559203&amp;doi=10.1016%2fj.marpol.2020.103862&amp;partnerID=40&amp;md5=90d8ef2b3f8b3fcae598d72c7bcc1521</t>
  </si>
  <si>
    <t>&lt;p&gt;Export Date: 27 January 2025; Cited By: 26&lt;/p&gt; | RAYYAN-INCLUSION: {"Philip"=&gt;"Excluded", "Prishnee"=&gt;"Included"}</t>
  </si>
  <si>
    <t>10.1016/j.marpol.2020.103862</t>
  </si>
  <si>
    <t>Canada;conservation planning;decision making;environmental management;Environmental non-governmental organizations;Informational governance;marine environment;marine park;Marine protected areas;nature conservation;nongovernmental organization;policy development;Science-policy interface;stakeholder;Stakeholder engagement</t>
  </si>
  <si>
    <t>rayyan-153486818</t>
  </si>
  <si>
    <t>Managers consider multiple lines of evidence important for biodiversity management decisions</t>
  </si>
  <si>
    <t>341-346</t>
  </si>
  <si>
    <t>Cook, C.N. and Carter, R.W.B. and Fuller, R.A. and Hockings, M.</t>
  </si>
  <si>
    <t>https://www.scopus.com/inward/record.uri?eid=2-s2.0-84869884743&amp;doi=10.1016%2fj.jenvman.2012.09.002&amp;partnerID=40&amp;md5=6a9b4123ab56908269e6ee96ae7b69e9</t>
  </si>
  <si>
    <t>&lt;p&gt;Export Date: 27 January 2025; Cited By: 92&lt;/p&gt; | RAYYAN-INCLUSION: {"Matthew"=&gt;"Included", "Elina"=&gt;"Included"}</t>
  </si>
  <si>
    <t>10.1016/j.jenvman.2012.09.002</t>
  </si>
  <si>
    <t>article;Australia;biodiversity;Biodiversity;Biodiversity managements;Conservation;conservation biology;Conservation management;Conservation practitioner;Conservation practitioners;decision making;Decision making;Decision-making;Decisions makings;ecology;ecosystem;empirical analysis;Environmental protection;Evidence;finance;habitat management;Management decisions;manager;prioritization;Prioritization;protected area;Protected areas;Science-based management;Scientific information</t>
  </si>
  <si>
    <t>rayyan-153486824</t>
  </si>
  <si>
    <t>Assessing conservation management's evidence base: A survey of management-plan compilers in the United Kingdom and Australia</t>
  </si>
  <si>
    <t>1989-1996</t>
  </si>
  <si>
    <t>https://www.scopus.com/inward/record.uri?eid=2-s2.0-33244493292&amp;doi=10.1111%2fj.1523-1739.2005.00287.x&amp;partnerID=40&amp;md5=1167d3af902444c3ead85c221403cc74</t>
  </si>
  <si>
    <t>&lt;p&gt;Export Date: 27 January 2025; Cited By: 126&lt;/p&gt; | RAYYAN-INCLUSION: {"Alice"=&gt;"Included"}</t>
  </si>
  <si>
    <t>10.1111/j.1523-1739.2005.00287.x</t>
  </si>
  <si>
    <t>Australasia;Australia;biodiversity;Biodiversity conservation;conservation management;conservation planning;Conservation policy;Decision support;decision support system;Environmental management;Eurasia;Europe;protected area;Systematic review;United Kingdom;Western Europe</t>
  </si>
  <si>
    <t>rayyan-153486837</t>
  </si>
  <si>
    <t>Using technical assistance to bridge evidence-to-action gaps in biodiversity conservation</t>
  </si>
  <si>
    <t>Dubois, N.S. and Safford, K. and Hansen, L. and Roberts, A. and Carlson, S.</t>
  </si>
  <si>
    <t>https://www.scopus.com/inward/record.uri?eid=2-s2.0-85205254812&amp;doi=10.1111%2fcsp2.13234&amp;partnerID=40&amp;md5=334462e99fd1d249d51494f884e6fd83</t>
  </si>
  <si>
    <t>&lt;p&gt;Export Date: 27 January 2025; Cited By: 1&lt;/p&gt; | RAYYAN-INCLUSION: {"Matthew"=&gt;"Included"}</t>
  </si>
  <si>
    <t>10.1111/csp2.13234</t>
  </si>
  <si>
    <t>capacity development;conservation;decision support;evidence-based;evidence-informed decision-making;knowledge broker;research-implementation gap</t>
  </si>
  <si>
    <t>rayyan-153486852</t>
  </si>
  <si>
    <t>Integrating science into the design of the Tortugas Ecological Reserve</t>
  </si>
  <si>
    <t>Marine Technology Society Journal</t>
  </si>
  <si>
    <t>68-79</t>
  </si>
  <si>
    <t>Cowie-Haskell, B.D. and Delaney, J.M.</t>
  </si>
  <si>
    <t>https://www.scopus.com/inward/record.uri?eid=2-s2.0-0042665192&amp;doi=10.4031%2f002533203787537447&amp;partnerID=40&amp;md5=54baf660a8853cd750e6191673d2725a</t>
  </si>
  <si>
    <t>&lt;p&gt;Export Date: 27 January 2025; Cited By: 17&lt;/p&gt; | RAYYAN-INCLUSION: {"Philip"=&gt;"Excluded", "Tabitha"=&gt;"Excluded", "Elina"=&gt;"Included"}</t>
  </si>
  <si>
    <t>10.4031/002533203787537447</t>
  </si>
  <si>
    <t>Biodiversity;decision making;Ecological reserves;Ecosystems;environmental planning;Florida;Marine engineering;marine park;Planning;protected area;stakeholder;Tortugas Ecological Reserve;United States</t>
  </si>
  <si>
    <t>rayyan-153486855</t>
  </si>
  <si>
    <t>Navigating power imbalances in landscape governance: a network and influence analysis in southern Zambia</t>
  </si>
  <si>
    <t>Siangulube, F.S. and Ros-Tonen, M.A.F. and Reed, J. and Djoudi, H. and Gumbo, D. and Sunderland, T.</t>
  </si>
  <si>
    <t>https://www.scopus.com/inward/record.uri?eid=2-s2.0-85148371921&amp;doi=10.1007%2fs10113-023-02031-4&amp;partnerID=40&amp;md5=aee97d8ee8884ec0090c92e71df514da</t>
  </si>
  <si>
    <t>&lt;p&gt;Export Date: 27 January 2025; Cited By: 8&lt;/p&gt; | RAYYAN-INCLUSION: {"Tabitha"=&gt;"Excluded"}</t>
  </si>
  <si>
    <t>10.1007/s10113-023-02031-4</t>
  </si>
  <si>
    <t>Influence analysis;Integrated landscape approaches;Landscape governance;Multi-stakeholder platforms;Network analysis;Power dynamics;Zambia</t>
  </si>
  <si>
    <t>rayyan-153486863</t>
  </si>
  <si>
    <t>The scientific strategy needed to promote a regional ecosystem-based approach to fisheries in the Mediterranean and Black Seas</t>
  </si>
  <si>
    <t>415-434</t>
  </si>
  <si>
    <t>Coll, M. and Cury, P. and Azzurro, E. and Bariche, M. and Bayadas, G. and Bellido, J.M. and Chaboud, C. and Claudet, J. and El-Sayed, A.-F. and Gascuel, D. and Knittweis, L. and Pipitone, C. and Samuel-Rhoads, Y. and Taleb, S. and Tudela, S. and Valls, A.</t>
  </si>
  <si>
    <t>https://www.scopus.com/inward/record.uri?eid=2-s2.0-84887619521&amp;doi=10.1007%2fs11160-013-9305-y&amp;partnerID=40&amp;md5=7bafe278a2fce889eb2b1ea53da35939</t>
  </si>
  <si>
    <t>&lt;p&gt;Export Date: 27 January 2025; Cited By: 30&lt;/p&gt; | RAYYAN-INCLUSION: {"Tabitha"=&gt;"Included", "Elina"=&gt;"Excluded"}</t>
  </si>
  <si>
    <t>10.1007/s11160-013-9305-y</t>
  </si>
  <si>
    <t>Black Sea;coastal protection;coastal zone management;Coordination;decision making;ecological approach;ecosystem approach;Ecosystem-based approach to fisheries (EAF);European Union;exploitation;fishery management;France;Herault;Languedoc-Roussillon;marine ecosystem;Mediterranean and Black Seas;Mediterranean Sea;Roadmap;Scientific network;Scientific strategy;Sete;stakeholder;strategic approach;Toolbox;trade-off;Transversal approach</t>
  </si>
  <si>
    <t>rayyan-153486867</t>
  </si>
  <si>
    <t>Bridging research and practice in conservation</t>
  </si>
  <si>
    <t>1725-1737</t>
  </si>
  <si>
    <t>Kadykalo, A.N. and Buxton, R.T. and Morrison, P. and Anderson, C.M. and Bickerton, H. and Francis, C.M. and Smith, A.C. and Fahrig, L.</t>
  </si>
  <si>
    <t>https://www.scopus.com/inward/record.uri?eid=2-s2.0-85107188326&amp;doi=10.1111%2fcobi.13732&amp;partnerID=40&amp;md5=744e0de13d642e886fa66b4c816cd714</t>
  </si>
  <si>
    <t>&lt;p&gt;Export Date: 27 January 2025; Cited By: 56&lt;/p&gt; | RAYYAN-INCLUSION: {"Matthew"=&gt;"Excluded"}</t>
  </si>
  <si>
    <t>10.1111/cobi.13732</t>
  </si>
  <si>
    <t>biodiversity;Biodiversity;conservation management;Conservation of Natural Resources;conservation status;decision making;environmental evidence;environmental management;environmental protection;evidence-based conservation;evidence-informed decision making;human;Humans;knowledge broker;knowledge exchange;knowledge translation;natural resource management;organization;Organizations;personnel;research method;Research Personnel;research-implementation gap</t>
  </si>
  <si>
    <t>rayyan-153486868</t>
  </si>
  <si>
    <t>Combining participatory modelling and citizen science to support volunteer conservation action</t>
  </si>
  <si>
    <t>76-86</t>
  </si>
  <si>
    <t>Gray, S. and Jordan, R. and Crall, A. and Newman, G. and Hmelo-Silver, C. and Huang, J. and Novak, W. and Mellor, D. and Frensley, T. and Prysby, M. and Singer, A.</t>
  </si>
  <si>
    <t>https://www.scopus.com/inward/record.uri?eid=2-s2.0-84964702835&amp;doi=10.1016%2fj.biocon.2016.07.037&amp;partnerID=40&amp;md5=508af238eb9e4547009e3e220352c071</t>
  </si>
  <si>
    <t>&lt;p&gt;Export Date: 27 January 2025; Cited By: 74&lt;/p&gt; | RAYYAN-INCLUSION: {"Alec"=&gt;"Excluded"}</t>
  </si>
  <si>
    <t>10.1016/j.biocon.2016.07.037</t>
  </si>
  <si>
    <t>action plan;Citizen science;conservation planning;decision making;environmental planning;environmental research;Fuzzy cognitive mapping;fuzzy mathematics;land management;literature review;management practice;participatory approach;Participatory modelling;Public participation in scientific research (PPSR);software;United States;voluntary approach;World Wide Web</t>
  </si>
  <si>
    <t>rayyan-153486869</t>
  </si>
  <si>
    <t>Science to policy - Reflections on the South African reality</t>
  </si>
  <si>
    <t>South African Journal of Science</t>
  </si>
  <si>
    <t>Von Der Heyden, S. and Lukey, P. and Celliers, L. and Prochazka, K. and Lombard, A.T.</t>
  </si>
  <si>
    <t>https://www.scopus.com/inward/record.uri?eid=2-s2.0-85001129183&amp;doi=10.17159%2fsajs.2016%2fa0183&amp;partnerID=40&amp;md5=ca2dea2d7d9c9e7d0ee1868eaca19563</t>
  </si>
  <si>
    <t>&lt;p&gt;Export Date: 27 January 2025; Cited By: 8&lt;/p&gt; | RAYYAN-INCLUSION: {"Matthew"=&gt;"Excluded", "Philip"=&gt;"Excluded", "Elina"=&gt;"Included"}</t>
  </si>
  <si>
    <t>10.17159/sajs.2016/a0183</t>
  </si>
  <si>
    <t>academic research;annual review;coastal development;decision making;Evidencebased decision-making;interdisciplinary approach;knowledge economy;policy development;research and development;science and technology;Science-policy-management interface;South Africa;stakeholder;Transdisciplinarity</t>
  </si>
  <si>
    <t>rayyan-153486872</t>
  </si>
  <si>
    <t>Moving from decision to action in conservation science</t>
  </si>
  <si>
    <t>Wright, A.D. and Bernard, R.F. and Mosher, B.A. and O'Donnell, K.M. and Braunagel, T. and DiRenzo, G.V. and Fleming, J. and Shafer, C. and Brand, A.B. and Zipkin, E.F. and Campbell Grant, E.H.</t>
  </si>
  <si>
    <t>https://www.scopus.com/inward/record.uri?eid=2-s2.0-85089338203&amp;doi=10.1016%2fj.biocon.2020.108698&amp;partnerID=40&amp;md5=15b47ce6d114d7394fb95276ae09d8ce</t>
  </si>
  <si>
    <t>&lt;p&gt;Export Date: 27 January 2025; Cited By: 21&lt;/p&gt; | RAYYAN-INCLUSION: {"Iris"=&gt;"Included"}</t>
  </si>
  <si>
    <t>10.1016/j.biocon.2020.108698</t>
  </si>
  <si>
    <t>Amphibia;amphibian;conservation planning;Decision analysis;decision making;environmental planning;Evidence-based;Knowledge co-production;Natural resource management;publishing;research work;Research-implementation gap;science and technology;stakeholder;Translational ecology</t>
  </si>
  <si>
    <t>rayyan-153486874</t>
  </si>
  <si>
    <t>Improving the application of long-term ecology in conservation and land management</t>
  </si>
  <si>
    <t>63-70</t>
  </si>
  <si>
    <t>Davies, A.L. and Colombo, S. and Hanley, N.</t>
  </si>
  <si>
    <t>https://www.scopus.com/inward/record.uri?eid=2-s2.0-84892522273&amp;doi=10.1111%2f1365-2664.12163&amp;partnerID=40&amp;md5=abbe8c1a2926878cc17a3f1e9fdf0859</t>
  </si>
  <si>
    <t>&lt;p&gt;Export Date: 27 January 2025; Cited By: 45&lt;/p&gt; | RAYYAN-INCLUSION: {"Philip"=&gt;"Included"}</t>
  </si>
  <si>
    <t>10.1111/1365-2664.12163</t>
  </si>
  <si>
    <t>Applied palaeoecology;Choice experiments;decision making;Decision-making framework;ecosystem dynamics;Evidence base;habitat conservation;integrated approach;Integrative ecology;land management;long-term change;Palaeoecology;paleoecology;Stated preferences;United Kingdom;Upland management</t>
  </si>
  <si>
    <t>rayyan-153486881</t>
  </si>
  <si>
    <t>Unintended Feedbacks: Challenges and Opportunities for Improving Conservation Effectiveness</t>
  </si>
  <si>
    <t>316-326</t>
  </si>
  <si>
    <t>Larrosa, C. and Carrasco, L.R. and Milner-Gulland, E.J.</t>
  </si>
  <si>
    <t>https://www.scopus.com/inward/record.uri?eid=2-s2.0-84963542003&amp;doi=10.1111%2fconl.12240&amp;partnerID=40&amp;md5=fceaaf3df0d5a8583258d5b961a50f09</t>
  </si>
  <si>
    <t>&lt;p&gt;Export Date: 27 January 2025; Cited By: 94&lt;/p&gt; | RAYYAN-INCLUSION: {"Alice"=&gt;"Excluded"}</t>
  </si>
  <si>
    <t>10.1111/conl.12240</t>
  </si>
  <si>
    <t>human-environment systems frameworks;Integrated conservation and development;perverse outcomes;social-ecological system (SES);system dynamics;theory of change</t>
  </si>
  <si>
    <t>rayyan-153486890</t>
  </si>
  <si>
    <t>Community involvement in waterway management: Identifying and prioritising community behaviours to protect and enhance Melbourne's waterways</t>
  </si>
  <si>
    <t>Hatty, M. and Boulet, M.</t>
  </si>
  <si>
    <t>https://www.scopus.com/inward/record.uri?eid=2-s2.0-85202892663&amp;doi=10.1016%2fj.envsci.2024.103877&amp;partnerID=40&amp;md5=b769c92b107aa8829e8ba28446ffbac0</t>
  </si>
  <si>
    <t>&lt;p&gt;Export Date: 27 January 2025; Cited By: 0&lt;/p&gt; | RAYYAN-INCLUSION: {"Iris"=&gt;"Excluded"}</t>
  </si>
  <si>
    <t>10.1016/j.envsci.2024.103877</t>
  </si>
  <si>
    <t>adoption;adult;aged;Article;Australia;behavior;Behaviour;biodiversity;Biodiversity conservation;community;community participation;community sample;conservation management;Conservation psychology;cooperative behavior;cost;decision making;Decision-making;economic incentive;education;evidence based practice;female;freshwater environment;human;information processing;local participation;major clinical study;male;Melbourne;mental effort;Prioritisation;prioritization;program development;protocol;revegetation;sediment;social interaction;time;Victoria [Australia];water management;waterway transport;Waterways</t>
  </si>
  <si>
    <t>rayyan-153486898</t>
  </si>
  <si>
    <t>From science to evidence - how biodiversity indicators can be used for effective marine conservation policy and management</t>
  </si>
  <si>
    <t>McQuatters-Gollop, A. and Mitchell, I. and Vina-Herbon, C. and Bedford, J. and Addison, P.F.E. and Lynam, C.P. and Geetha, P.N. and Vermeulan, E.A. and Smit, K. and Bayley, D.T.I. and Morris-Webb, E. and Niner, H.J. and Otto, S.A.</t>
  </si>
  <si>
    <t>https://www.scopus.com/inward/record.uri?eid=2-s2.0-85065450089&amp;doi=10.3389%2ffmars.2019.00109&amp;partnerID=40&amp;md5=6d4c4d2277d3df410122e4e6278d40e0</t>
  </si>
  <si>
    <t>&lt;p&gt;Export Date: 27 January 2025; Cited By: 46&lt;/p&gt; | RAYYAN-INCLUSION: {"Carlos"=&gt;"Excluded"}</t>
  </si>
  <si>
    <t>10.3389/fmars.2019.00109</t>
  </si>
  <si>
    <t>Assessment;Baselines;Cumulative effects;Ecosystem approach;Monitoring;Policy communication;Thresholds</t>
  </si>
  <si>
    <t>rayyan-153486921</t>
  </si>
  <si>
    <t>Risk, regulation and offshore windfarms: Ways to manage environmental uncertainty and over-precaution</t>
  </si>
  <si>
    <t>Nicholson, S.</t>
  </si>
  <si>
    <t>https://www.scopus.com/inward/record.uri?eid=2-s2.0-85189090568&amp;doi=10.1016%2fj.marpolbul.2024.116292&amp;partnerID=40&amp;md5=dafa2a56be8e8406759dd24b7396dcc9</t>
  </si>
  <si>
    <t>&lt;p&gt;Export Date: 27 January 2025; Cited By: 1&lt;/p&gt; | RAYYAN-INCLUSION: {"Matthew"=&gt;"Excluded"}</t>
  </si>
  <si>
    <t>10.1016/j.marpolbul.2024.116292</t>
  </si>
  <si>
    <t>anthropogenic effect;appetite;behavior;climate change;Climate Change;Collision risks;Conservation of Natural Resources;Decision makers;decision making;Decision making;Decision Making;Decisions makings;disaster;ecological impact;elasmobranch;electricity;electromagnetic field;Electromagnetic fields;electromagnetism;electrosensory system;emission control;environmental impact assessment;environmental management;environmental policy;Environmental Policy;environmental protection;Environmental regulations;environmental uncertainty;Environmental uncertainty;exploratory behavior;Gas emissions;government;greenhouse gas;greenhouse gas emission;Greenhouse gases;Greenhouse Gases;hemolymph;human;information processing;legislative implementation;magnetic field;marine environment;migration;monitoring;nature conservation;Offshore oil well production;offshore structure;Offshore windfarm;Offshores;pelagic species;policy approach;regulatory framework;renewable energy;Review;Risk appetite;risk assessment;Risk Assessment;risk management;Risk regulation;seabird;Seabird collision risk;telemetry;uncertainty;Uncertainty;United Kingdom;wind;Wind;wind farm;Wind farm</t>
  </si>
  <si>
    <t>rayyan-153486928</t>
  </si>
  <si>
    <t>Barriers to climate-adaptive management: A survey of wildlife researchers and managers in Wisconsin</t>
  </si>
  <si>
    <t>Wildlife Society Bulletin</t>
  </si>
  <si>
    <t>672-681</t>
  </si>
  <si>
    <t>Hagell, S. and Ribic, C.A.</t>
  </si>
  <si>
    <t>https://www.scopus.com/inward/record.uri?eid=2-s2.0-84928880945&amp;doi=10.1002%2fwsb.459&amp;partnerID=40&amp;md5=9614d79fd089f0611628c4991496dce8</t>
  </si>
  <si>
    <t>&lt;p&gt;Export Date: 27 January 2025; Cited By: 6&lt;/p&gt; | RAYYAN-INCLUSION: {"Alice"=&gt;"Included"}</t>
  </si>
  <si>
    <t>10.1002/wsb.459</t>
  </si>
  <si>
    <t>adaptive management;climate change;decision making;decision-making;implementation process;information sharing;research work;resource assessment;risk factor;risk perception;social network;species conservation;United States;wild population;wildlife management;Wisconsin</t>
  </si>
  <si>
    <t>rayyan-153486931</t>
  </si>
  <si>
    <t>Decision tools for managing biological invasions: Existing biases and future needs</t>
  </si>
  <si>
    <t>ORYX</t>
  </si>
  <si>
    <t>56-63</t>
  </si>
  <si>
    <t>Dana, E.D. and Jeschke, J.M. and GarcÃ­a-De-Lomas, J.</t>
  </si>
  <si>
    <t>https://www.scopus.com/inward/record.uri?eid=2-s2.0-84890545635&amp;doi=10.1017%2fS0030605312001263&amp;partnerID=40&amp;md5=2cb78ae4e6a1165c70de4ab83c893458</t>
  </si>
  <si>
    <t>&lt;p&gt;Export Date: 27 January 2025; Cited By: 49&lt;/p&gt; | RAYYAN-INCLUSION: {"Prishnee"=&gt;"Excluded"}</t>
  </si>
  <si>
    <t>10.1017/S0030605312001263</t>
  </si>
  <si>
    <t>Australia;biological invasion;Biological invasions;conservation management;Cost-benefit;cost-benefit analysis;Cost-efficiency;decision making;Decision-making tools;Europe;invasive species;Management;management practice;nature conservation;North America;prioritization;risk factor;taxonomy</t>
  </si>
  <si>
    <t>rayyan-153486933</t>
  </si>
  <si>
    <t>Co-designing a toolkit for evidence-based decision making in conservation: Processes and lessons</t>
  </si>
  <si>
    <t>Smith, R.K. and Morgan, W.H. and Al-Fulaij, N. and Amano, T. and Bowkett, A.E. and Christie, A. and Downey, H. and Frick, W.F. and O'Brien, D. and Ockendon, N. and Oppel, S. and Petrovan, S.O. and Righton, D. and Tinsley-Marshall, P. and Worthington, T.A. and Sutherland, W.J.</t>
  </si>
  <si>
    <t>https://www.scopus.com/inward/record.uri?eid=2-s2.0-85171680484&amp;doi=10.1002%2f2688-8319.12269&amp;partnerID=40&amp;md5=6eebed50a64eb10cfbe434c59e27bc00</t>
  </si>
  <si>
    <t>10.1002/2688-8319.12269</t>
  </si>
  <si>
    <t>co-design;co-production;conservation evidence;conservation practice;decision support tools;research implementation gap;stakeholder engagement</t>
  </si>
  <si>
    <t>rayyan-153486939</t>
  </si>
  <si>
    <t>Organising evidence for environmental management decisions: A '4S' hierarchy</t>
  </si>
  <si>
    <t>607-613</t>
  </si>
  <si>
    <t>Dicks, L.V. and Walsh, J.C. and Sutherland, W.J.</t>
  </si>
  <si>
    <t>https://www.scopus.com/inward/record.uri?eid=2-s2.0-84908229670&amp;doi=10.1016%2fj.tree.2014.09.004&amp;partnerID=40&amp;md5=5ef17a408e67d319044d88acef6f8d69</t>
  </si>
  <si>
    <t>&lt;p&gt;Export Date: 27 January 2025; Cited By: 173&lt;/p&gt; | RAYYAN-INCLUSION: {"Iris"=&gt;"Excluded"}</t>
  </si>
  <si>
    <t>10.1016/j.tree.2014.09.004</t>
  </si>
  <si>
    <t>Choice Behavior;Conservation of Natural Resources;decision making;Decision Making;decision support system;Ecology;Environmental decision-making;environmental management;Environmental management;environmental policy;Environmental Policy;Evidence;Evidence-based conservation;Information;methods;natural resource;Policy;Policy Making;Practice</t>
  </si>
  <si>
    <t>rayyan-153486951</t>
  </si>
  <si>
    <t>Communication Approaches and Specialists that Can Improve Fisheries Management</t>
  </si>
  <si>
    <t>319-326</t>
  </si>
  <si>
    <t>Robison, V. and Jones, M. and Erickson, B. and Biedenweg, K.</t>
  </si>
  <si>
    <t>https://www.scopus.com/inward/record.uri?eid=2-s2.0-85190401780&amp;doi=10.1002%2ffsh.11090&amp;partnerID=40&amp;md5=cc96691ec8ba86c26e44169b4db9a73a</t>
  </si>
  <si>
    <t>&lt;p&gt;Export Date: 27 January 2025; Cited By: 1&lt;/p&gt; | RAYYAN-INCLUSION: {"Tabitha"=&gt;"Excluded", "Elina"=&gt;"Excluded"}</t>
  </si>
  <si>
    <t>10.1002/fsh.11090</t>
  </si>
  <si>
    <t>rayyan-153486961</t>
  </si>
  <si>
    <t>A step-wise process of decision-making under uncertainty when implementing environmental policy</t>
  </si>
  <si>
    <t>56-64</t>
  </si>
  <si>
    <t>Knights, A.M. and Culhane, F. and Hussain, S.S. and Papadopoulou, K.N. and Piet, G.J. and RaakÃ¦r, J. and Rogers, S.I. and Robinson, L.A.</t>
  </si>
  <si>
    <t>https://www.scopus.com/inward/record.uri?eid=2-s2.0-84896326757&amp;doi=10.1016%2fj.envsci.2014.02.010&amp;partnerID=40&amp;md5=b319f984c5dd8f5ae6334b11917e4d70</t>
  </si>
  <si>
    <t>&lt;p&gt;Export Date: 27 January 2025; Cited By: 45&lt;/p&gt; | RAYYAN-INCLUSION: {"Isobel"=&gt;"Excluded"}</t>
  </si>
  <si>
    <t>10.1016/j.envsci.2014.02.010</t>
  </si>
  <si>
    <t>article;climate change;decision making;Ecosystem approach;environmental factor;environmental management;environmental planning;evidence based practice;global climate;Governance;human activities;Indicators;Management;marine environment;Measures;priority journal;Socio-economics;uncertainty</t>
  </si>
  <si>
    <t>rayyan-153486962</t>
  </si>
  <si>
    <t>Do conservation managers use scientific evidence to support their decision-making?</t>
  </si>
  <si>
    <t>245-252</t>
  </si>
  <si>
    <t>Pullin, A.S. and Knight, T.M. and Stone, D.A. and Charman, K.</t>
  </si>
  <si>
    <t>https://www.scopus.com/inward/record.uri?eid=2-s2.0-2942722761&amp;doi=10.1016%2fj.biocon.2003.11.007&amp;partnerID=40&amp;md5=f4ae230618416709f732bab7d8be364d</t>
  </si>
  <si>
    <t>&lt;p&gt;Export Date: 27 January 2025; Cited By: 488&lt;/p&gt; | RAYYAN-INCLUSION: {"Alice"=&gt;"Included"}</t>
  </si>
  <si>
    <t>10.1016/j.biocon.2003.11.007</t>
  </si>
  <si>
    <t>Biodiversity management;conservation management;Conservation management;Conservation policy;Conservation practice;decision analysis;decision making;Decision support;Eurasia;Europe;land management;United Kingdom;Western Europe</t>
  </si>
  <si>
    <t>rayyan-153486964</t>
  </si>
  <si>
    <t>A Narrative Policy Approach to Environmental Conservation</t>
  </si>
  <si>
    <t>849-857</t>
  </si>
  <si>
    <t>Lawton, R.N. and Rudd, M.A.</t>
  </si>
  <si>
    <t>https://www.scopus.com/inward/record.uri?eid=2-s2.0-84910133210&amp;doi=10.1007%2fs13280-014-0497-8&amp;partnerID=40&amp;md5=14ce9dc802dbf13d37e49d39becf2899</t>
  </si>
  <si>
    <t>&lt;p&gt;Export Date: 27 January 2025; Cited By: 27&lt;/p&gt; | RAYYAN-INCLUSION: {"Alice"=&gt;"Excluded"}</t>
  </si>
  <si>
    <t>10.1007/s13280-014-0497-8</t>
  </si>
  <si>
    <t>analytical method;article;Conservation of Natural Resources;Context;Converger;decision making;Diverger;Ecosystem services;environmental policy;environmental protection;methodology;Models, Theoretical;Narrative Policy Framework;policy;policy making;political theory;Public Policy;research;Research;Research impacts;theoretical model;United Kingdom</t>
  </si>
  <si>
    <t>rayyan-153486968</t>
  </si>
  <si>
    <t>The decision makerâ€™s lament: If I only had some science!</t>
  </si>
  <si>
    <t>898-906</t>
  </si>
  <si>
    <t>Bisbal, G.A.</t>
  </si>
  <si>
    <t>https://www.scopus.com/inward/record.uri?eid=2-s2.0-85187167130&amp;doi=10.1007%2fs13280-024-01986-w&amp;partnerID=40&amp;md5=410360b80665938328768829273a6480</t>
  </si>
  <si>
    <t>10.1007/s13280-024-01986-w</t>
  </si>
  <si>
    <t>Actionable science;Conservation of Natural Resources;decision making;Decision making;Decision Making;environmental management;Environmental management;environmental protection;human;Humans;information system;knowledge;procedures;science;Science;Usable knowledge</t>
  </si>
  <si>
    <t>rayyan-153486972</t>
  </si>
  <si>
    <t>Overcoming barriers to knowledge exchange for adaptive resource management; the perspectives of Australian marine scientists</t>
  </si>
  <si>
    <t>38-44</t>
  </si>
  <si>
    <t>Cvitanovic, C. and Hobday, A.J. and Van Kerkhoff, L. and Marshall, N.A.</t>
  </si>
  <si>
    <t>https://www.scopus.com/inward/record.uri?eid=2-s2.0-84910629316&amp;doi=10.1016%2fj.marpol.2014.10.026&amp;partnerID=40&amp;md5=9ddb550da18f137f9a8118b9aa4ba10e</t>
  </si>
  <si>
    <t>&lt;p&gt;Export Date: 27 January 2025; Cited By: 94&lt;/p&gt; | RAYYAN-INCLUSION: {"Philip"=&gt;"Included", "Carlos"=&gt;"Included", "Tabitha"=&gt;"Included", "Prishnee"=&gt;"Included", "Valentin"=&gt;"Excluded", "fereshteh"=&gt;"Excluded", "Aidan"=&gt;"Included", "Nibedita"=&gt;"Included", "Isobel"=&gt;"Excluded"}</t>
  </si>
  <si>
    <t>10.1016/j.marpol.2014.10.026</t>
  </si>
  <si>
    <t>adaptive management;Australia;decision making;Decision-making;environmental management;Institutional barriers;institutional framework;Institutional innovation;marine resource;Mentoring;resource management;Science funding;Science impact;sustainability</t>
  </si>
  <si>
    <t>rayyan-153486985</t>
  </si>
  <si>
    <t>How experimental biology and ecology can support evidence-based decision-making in conservation: Avoiding pitfalls and enabling application</t>
  </si>
  <si>
    <t>Cooke, S.J. and Birnie-Gauvin, K. and Lennox, R.J. and Taylor, J.J. and Rytwinski, T. and Rummer, J.L. and Franklin, C.E. and Bennett, J.R. and Haddaway, N.R.</t>
  </si>
  <si>
    <t>https://www.scopus.com/inward/record.uri?eid=2-s2.0-85042800848&amp;doi=10.1093%2fconphys%2fcox043&amp;partnerID=40&amp;md5=7f98fd24c90b36c3edc984c406627699</t>
  </si>
  <si>
    <t>&lt;p&gt;Export Date: 27 January 2025; Cited By: 53&lt;/p&gt; | RAYYAN-INCLUSION: {"Alice"=&gt;"Excluded"}</t>
  </si>
  <si>
    <t>10.1093/conphys/cox043</t>
  </si>
  <si>
    <t>Evidence;Experimental biology and ecology;Relevance;Reliability</t>
  </si>
  <si>
    <t>rayyan-153486992</t>
  </si>
  <si>
    <t>Designing Monitoring Programs for Marine Protected Areas Within an Evidence Based Decision Making Paradigm</t>
  </si>
  <si>
    <t>Hayes, K.R. and Hosack, G.R. and Lawrence, E. and Hedge, P. and Barrett, N.S. and Przeslawski, R. and Caley, M.J. and Foster, S.D.</t>
  </si>
  <si>
    <t>https://www.scopus.com/inward/record.uri?eid=2-s2.0-85076891854&amp;doi=10.3389%2ffmars.2019.00746&amp;partnerID=40&amp;md5=77503eb06a0f9372c973256f7b07baca</t>
  </si>
  <si>
    <t>&lt;p&gt;Export Date: 27 January 2025; Cited By: 21&lt;/p&gt; | RAYYAN-INCLUSION: {"Matthew"=&gt;"Excluded"}</t>
  </si>
  <si>
    <t>10.3389/fmars.2019.00746</t>
  </si>
  <si>
    <t>causality;design methodology;EBDM;marine protected area;monitoring</t>
  </si>
  <si>
    <t>rayyan-153487004</t>
  </si>
  <si>
    <t>Institutional inertia in European fisheries â€“ Insights from the Atlantic horse mackerel case</t>
  </si>
  <si>
    <t>Schuch, E. and Gabbert, S. and Richter, A.P.</t>
  </si>
  <si>
    <t>https://www.scopus.com/inward/record.uri?eid=2-s2.0-85102139826&amp;doi=10.1016%2fj.marpol.2021.104464&amp;partnerID=40&amp;md5=96f70c707b208a378bd818e77b231a92</t>
  </si>
  <si>
    <t>&lt;p&gt;Export Date: 27 January 2025; Cited By: 7&lt;/p&gt; | RAYYAN-INCLUSION: {"Philip"=&gt;"Excluded", "Aidan"=&gt;"Excluded"}</t>
  </si>
  <si>
    <t>10.1016/j.marpol.2021.104464</t>
  </si>
  <si>
    <t>Climate change;commercial species;Europe;Fisheries management;fishery management;inertia;institutional framework;Institutional inertia;mariculture;Matthiola;quota system;Science-policy interface;spatial analysis;stock assessment;Trachurus trachurus;Value of information</t>
  </si>
  <si>
    <t>rayyan-153487005</t>
  </si>
  <si>
    <t>Exploring Institutional Mechanisms for Scientific Input into the Management Cycle of the National Protected Area Network of Peru: Gaps and Opportunities</t>
  </si>
  <si>
    <t>1022-1041</t>
  </si>
  <si>
    <t>LÃ³pez-RodrÃ­guez, M.D. and Castro, H. and Arenas, M. and Requena-Mullor, J.M. and Cano, A. and Valenzuela, E. and Cabello, J.</t>
  </si>
  <si>
    <t>https://www.scopus.com/inward/record.uri?eid=2-s2.0-85029001749&amp;doi=10.1007%2fs00267-017-0929-x&amp;partnerID=40&amp;md5=8f5de76eaa615587578b0aee42e065d4</t>
  </si>
  <si>
    <t>10.1007/s00267-017-0929-x</t>
  </si>
  <si>
    <t>Conservation;conservation management;Conservation of Natural Resources;conservation planning;Conservation practices;Decision makers;decision making;Decision making;Decision Making;Decisions makings;empirical research;environmental policy;Environmental Policy;environmental protection;Environmental protection;evidence based practice center;Evidence-based;Evidence-based conservation;exploration;governance approach;government regulation;Government Regulation;human;human experiment;Information management;institutional framework;interdisciplinary approach;interdisciplinary research;Interdisciplinary Research;legislation and jurisprudence;management;Management cycle;methodology;national planning;organization and management;perception;Peru;policy making;Policy Making;procedures;protected area;Protected Area;Protected areas;questionnaire;questionnaire survey;Research;Research Design;research work;Science policies;Science-policy gap;Science-policy gaps;scientist;Surveys;Transdisciplinary research;trends</t>
  </si>
  <si>
    <t>rayyan-153487007</t>
  </si>
  <si>
    <t>Poor availability of context-specific evidence hampers decision-making in conservation</t>
  </si>
  <si>
    <t>Christie, A.P. and Amano, T. and Martin, P.A. and Petrovan, S.O. and Shackelford, G.E. and Simmons, B.I. and Smith, R.K. and Williams, D.R. and Wordley, C.F.R. and Sutherland, W.J.</t>
  </si>
  <si>
    <t>https://www.scopus.com/inward/record.uri?eid=2-s2.0-85087208572&amp;doi=10.1016%2fj.biocon.2020.108666&amp;partnerID=40&amp;md5=cd5a4d7586f3b124dd0a095cec023afd</t>
  </si>
  <si>
    <t>&lt;p&gt;Export Date: 27 January 2025; Cited By: 69&lt;/p&gt; | RAYYAN-INCLUSION: {"Alec"=&gt;"Excluded"}</t>
  </si>
  <si>
    <t>10.1016/j.biocon.2020.108666</t>
  </si>
  <si>
    <t>Amphibia;amphibian;Aves;bird;Conservation evidence;conservation planning;conservation status;decision making;Evidence-based conservation;External validity;Generalizability;Russian Federation;South America;Southeast Asia;Study design;Sub-Saharan Africa;Synthesis</t>
  </si>
  <si>
    <t>rayyan-153487008</t>
  </si>
  <si>
    <t>Avoiding a Post-truth World: Embracing Post-normal Conservation</t>
  </si>
  <si>
    <t>Conservation and Society</t>
  </si>
  <si>
    <t>518-524</t>
  </si>
  <si>
    <t>Rose, D.C.</t>
  </si>
  <si>
    <t>https://www.scopus.com/inward/record.uri?eid=2-s2.0-85056762995&amp;doi=10.4103%2fcs.cs_17_131&amp;partnerID=40&amp;md5=23c9ac88e31d30cacc5d8fe7e32ba41e</t>
  </si>
  <si>
    <t>&lt;p&gt;Export Date: 27 January 2025; Cited By: 36&lt;/p&gt; | RAYYAN-INCLUSION: {"Tabitha"=&gt;"Excluded"}</t>
  </si>
  <si>
    <t>10.4103/cs.cs_17_131</t>
  </si>
  <si>
    <t>evidence-informed policy;post-normal science;post-truth;science communication;science-policy</t>
  </si>
  <si>
    <t>rayyan-153487012</t>
  </si>
  <si>
    <t>Communication between scientists, fishery managers and recreational fishers: Lessons learned from a comparative analysis of international case studies</t>
  </si>
  <si>
    <t>Fisheries Management and Ecology</t>
  </si>
  <si>
    <t>234-246</t>
  </si>
  <si>
    <t>Dedual, M. and Sague Pla, O. and Arlinghaus, R. and Clarke, A. and Ferter, K. and Geertz Hansen, P. and Gerdeaux, D. and Hames, F. and Kennelly, S.J. and Kleiven, A.R. and Meraner, A. and UeberschÃ¤r, B.</t>
  </si>
  <si>
    <t>https://www.scopus.com/inward/record.uri?eid=2-s2.0-84875051808&amp;doi=10.1111%2ffme.12001&amp;partnerID=40&amp;md5=4af4b2107441e1224c7271ba57cf7476</t>
  </si>
  <si>
    <t>&lt;p&gt;Export Date: 27 January 2025; Cited By: 59&lt;/p&gt; | RAYYAN-INCLUSION: {"Alec"=&gt;"Included"}</t>
  </si>
  <si>
    <t>10.1111/fme.12001</t>
  </si>
  <si>
    <t>Anglers;angling;Collaboration;Communication;communication behavior;comparative study;Fishers;fishery management;Managers;Recreational fishing;Scientists;stakeholder</t>
  </si>
  <si>
    <t>rayyan-153487039</t>
  </si>
  <si>
    <t>Reducing the gap between scientific knowledge and decision-making processes in a threatened species</t>
  </si>
  <si>
    <t>Plaza, P.I. and Lambertucci, S.A.</t>
  </si>
  <si>
    <t>https://www.scopus.com/inward/record.uri?eid=2-s2.0-85098151467&amp;doi=10.1016%2fj.biocon.2020.108924&amp;partnerID=40&amp;md5=0950464e83ef8a8ddfa4e1b8661e1acd</t>
  </si>
  <si>
    <t>10.1016/j.biocon.2020.108924</t>
  </si>
  <si>
    <t>Gymnogyps;Vultur gryphus</t>
  </si>
  <si>
    <t>rayyan-153487040</t>
  </si>
  <si>
    <t>Considering science needs to deliver actionable science</t>
  </si>
  <si>
    <t>Bisbal, G.A. and Eaton, M.J.</t>
  </si>
  <si>
    <t>https://www.scopus.com/inward/record.uri?eid=2-s2.0-85141514059&amp;doi=10.1111%2fcobi.14013&amp;partnerID=40&amp;md5=c87582577811400a23165b9e88ff27f7</t>
  </si>
  <si>
    <t>10.1111/cobi.14013</t>
  </si>
  <si>
    <t>Communication;conservation management;Conservation of Natural Resources;decision analysis;decision maker;decision making;Decision Making;environmental protection;gap analysis;human;Humans;interpersonal communication;natural resource;Natural Resources;needs assessment;organization;Organizations;problem framing;resource management;stakeholder</t>
  </si>
  <si>
    <t>rayyan-153487042</t>
  </si>
  <si>
    <t>Integrating Remote Sensing into Wildlife Monitoring for Conservation</t>
  </si>
  <si>
    <t>181-183</t>
  </si>
  <si>
    <t>Stephenson, P.J.</t>
  </si>
  <si>
    <t>https://www.scopus.com/inward/record.uri?eid=2-s2.0-85068121020&amp;doi=10.1017%2fS0376892919000092&amp;partnerID=40&amp;md5=8fd2546277e2a4774740a9da31f8c793</t>
  </si>
  <si>
    <t>&lt;p&gt;Export Date: 27 January 2025; Cited By: 32&lt;/p&gt; | RAYYAN-INCLUSION: {"Alice"=&gt;"Excluded"}</t>
  </si>
  <si>
    <t>10.1017/S0376892919000092</t>
  </si>
  <si>
    <t>adaptive management;Adaptive Management;Animals;Conservation;Data collection;Data handling;Decision makers;decision making;Decision making;environmental indicator;indicators;Indicators (instruments);monitoring;Monitoring;nature conservation;Population statistics;remote sensing;Remote sensing;Technological advances;Time-series data;wildlife;Wildlife conservation;wildlife management;Wildlife monitoring</t>
  </si>
  <si>
    <t>rayyan-153487044</t>
  </si>
  <si>
    <t>Social science for conservation in working landscapes and seascapes</t>
  </si>
  <si>
    <t>Bennett, N.J. and Dodge, M. and Akre, T.S. and Canty, S.W.J. and Chiaravalloti, R. and Dayer, A.A. and Deichmann, J.L. and Gill, D. and McField, M. and McNamara, J. and Murphy, S.E. and Nowakowski, A.J. and Songer, M.</t>
  </si>
  <si>
    <t>https://www.scopus.com/inward/record.uri?eid=2-s2.0-85144420967&amp;doi=10.3389%2ffcosc.2022.954930&amp;partnerID=40&amp;md5=681b4727a666e27e75c1f108f28ca488</t>
  </si>
  <si>
    <t>&lt;p&gt;Export Date: 27 January 2025; Cited By: 9&lt;/p&gt; | RAYYAN-INCLUSION: {"Alice"=&gt;"Excluded"}</t>
  </si>
  <si>
    <t>10.3389/fcosc.2022.954930</t>
  </si>
  <si>
    <t>biodiversity conservation;conservation social science;human dimensions;integrated conservation;landscapes;marine social science;seascapes;social-ecological systems</t>
  </si>
  <si>
    <t>rayyan-153487045</t>
  </si>
  <si>
    <t>More than money - The costs of knowledge exchange at the interface of science and policy</t>
  </si>
  <si>
    <t>Karcher, D.B. and Cvitanovic, C. and Shellock, R. and Hobday, A.J. and Stephenson, R.L. and Dickey-Collas, M. and van Putten, I.E.</t>
  </si>
  <si>
    <t>https://www.scopus.com/inward/record.uri?eid=2-s2.0-85130355851&amp;doi=10.1016%2fj.ocecoaman.2022.106194&amp;partnerID=40&amp;md5=b32776f77b00dab7c5aae336802c6f90</t>
  </si>
  <si>
    <t>&lt;p&gt;Export Date: 27 January 2025; Cited By: 30&lt;/p&gt; | RAYYAN-INCLUSION: {"Aidan"=&gt;"Excluded"}</t>
  </si>
  <si>
    <t>10.1016/j.ocecoaman.2022.106194</t>
  </si>
  <si>
    <t>Budget control;Costs;decision making;Decision making;Decisions makings;Evidence-informed decision-making;governance approach;Informed decision;knowledge;Knowledge co productions;Knowledge co-production;Knowledge exchange;Knowledge management;marine environment;Marine environment;Marine governance;Monetary costs;policy approach;Project leaders;Research impact;Research impacts;Science funding;Science fundings</t>
  </si>
  <si>
    <t>rayyan-153487046</t>
  </si>
  <si>
    <t>The interagency creeks and communities strategy: Creating healthy streams and wetlands by bringing people together</t>
  </si>
  <si>
    <t>Rangelands</t>
  </si>
  <si>
    <t>Van Riper, L.</t>
  </si>
  <si>
    <t>https://www.scopus.com/inward/record.uri?eid=2-s2.0-84865766992&amp;doi=10.2111%2fRANGELANDS-D-12-00013.1&amp;partnerID=40&amp;md5=9983fc6003b32d40edf63d24cb227f85</t>
  </si>
  <si>
    <t>&lt;p&gt;Export Date: 27 January 2025; Cited By: 2&lt;/p&gt; | RAYYAN-INCLUSION: {"Philip"=&gt;"Excluded", "Elina"=&gt;"Included"}</t>
  </si>
  <si>
    <t>10.2111/RANGELANDS-D-12-00013.1</t>
  </si>
  <si>
    <t>decision making;facilitation;nongovernmental organization;partnership approach;restoration ecology;riparian vegetation;United States;wetland management</t>
  </si>
  <si>
    <t>rayyan-153487052</t>
  </si>
  <si>
    <t>What happens at the gap between knowledge and practice? Spaces of encounter and misencounter between environmental scientists and local people</t>
  </si>
  <si>
    <t>https://www.scopus.com/inward/record.uri?eid=2-s2.0-84976532458&amp;doi=10.5751%2fES-08409-210228&amp;partnerID=40&amp;md5=7dcd0035351f17b52886409ac73d1d64</t>
  </si>
  <si>
    <t>&lt;p&gt;Export Date: 27 January 2025; Cited By: 55&lt;/p&gt; | RAYYAN-INCLUSION: {"Matthew"=&gt;"Included"}</t>
  </si>
  <si>
    <t>10.5751/ES-08409-210228</t>
  </si>
  <si>
    <t>action plan;Bolivia;Encounter;environmental research;global change;Impact agenda;Knowing-doing gap;knowledge;Knowledge-exchange;La Paz [Bolivia];Madidi National Park;management practice;nature-society relations;protected area;Research-action</t>
  </si>
  <si>
    <t>rayyan-153487060</t>
  </si>
  <si>
    <t>Evaluation of the use of scientific information in developing the 1997 Forest plan for the Tongass National Forest</t>
  </si>
  <si>
    <t>General Technical Report - US Department of Agriculture, Forest Service</t>
  </si>
  <si>
    <t>Everest, F.H. and Swanston, D.N. and Smith, W.P. and Julin, K.R. and Allen, S.D.</t>
  </si>
  <si>
    <t>https://www.scopus.com/inward/record.uri?eid=2-s2.0-0031402077&amp;partnerID=40&amp;md5=aa311787b89213d74fb2a09284d66427</t>
  </si>
  <si>
    <t>&lt;p&gt;Export Date: 27 January 2025; Cited By: 11&lt;/p&gt; | RAYYAN-INCLUSION: {"Nibedita"=&gt;"Excluded", "Isobel"=&gt;"Excluded"}</t>
  </si>
  <si>
    <t>decision making;forest management;management approach;resources management;temperate rainforest;USA,Alaska,Tongass National Forest</t>
  </si>
  <si>
    <t>rayyan-153487077</t>
  </si>
  <si>
    <t>Canadian Healthy Oceans network (CHONe): An academic-government partnership to develop scientific guidelines for conservation and sustainable usage of marine biodiversity</t>
  </si>
  <si>
    <t>296-304</t>
  </si>
  <si>
    <t>Snelgrove, P.V.R. and Archambault, P. and Kim Juniper, S. and Lawton, P. and Metaxas, A. and Pepin, P. and Rice, J.C. and Tunnicliffe, V.</t>
  </si>
  <si>
    <t>https://www.scopus.com/inward/record.uri?eid=2-s2.0-84863993907&amp;partnerID=40&amp;md5=28a3e0dadee0927746aaeaf3e0688889</t>
  </si>
  <si>
    <t>&lt;p&gt;Export Date: 27 January 2025; Cited By: 11&lt;/p&gt; | RAYYAN-INCLUSION: {"Philip"=&gt;"Excluded", "Prishnee"=&gt;"Excluded"}</t>
  </si>
  <si>
    <t>Chone</t>
  </si>
  <si>
    <t>rayyan-153487083</t>
  </si>
  <si>
    <t>Acting in the face of evidentiary ambiguity, bias, and absence arising from systematic reviews in applied environmental science</t>
  </si>
  <si>
    <t>Rytwinski, T. and Cooke, S.J. and Taylor, J.J. and Roche, D.G. and Smith, P.A. and Mitchell, G.W. and Smokorowski, K.E. and Prior, K.A. and Bennett, J.R.</t>
  </si>
  <si>
    <t>https://www.scopus.com/inward/record.uri?eid=2-s2.0-85101509855&amp;doi=10.1016%2fj.scitotenv.2021.145122&amp;partnerID=40&amp;md5=e6d443702f2a3759087d9a178b3fbe93</t>
  </si>
  <si>
    <t>&lt;p&gt;Export Date: 27 January 2025; Cited By: 10&lt;/p&gt; | RAYYAN-INCLUSION: {"Prishnee"=&gt;"Excluded"}</t>
  </si>
  <si>
    <t>10.1016/j.scitotenv.2021.145122</t>
  </si>
  <si>
    <t>decision making;empiricism;Environmental evidence;environmental science;Evidence synthesis;Evidence-based decision-making;Evidentiary uncertainty;gold standard;human;Meta-analysis;note;physician;reliability;synthesis;systematic review;uncertainty;validity</t>
  </si>
  <si>
    <t>rayyan-153487085</t>
  </si>
  <si>
    <t>Closing the knowledge-action gap in conservation with open science</t>
  </si>
  <si>
    <t>Roche, D.G. and O'Dea, R.E. and Kerr, K.A. and Rytwinski, T. and Schuster, R. and Nguyen, V.M. and Young, N. and Bennett, J.R. and Cooke, S.J.</t>
  </si>
  <si>
    <t>https://www.scopus.com/inward/record.uri?eid=2-s2.0-85120315751&amp;doi=10.1111%2fcobi.13835&amp;partnerID=40&amp;md5=2b584636c3876f45b3c95f46d19c322f</t>
  </si>
  <si>
    <t>&lt;p&gt;Export Date: 27 January 2025; Cited By: 35&lt;/p&gt; | RAYYAN-INCLUSION: {"Philip"=&gt;"Excluded", "Nibedita"=&gt;"Excluded"}</t>
  </si>
  <si>
    <t>10.1111/cobi.13835</t>
  </si>
  <si>
    <t>acceso abierto;biodiversity;Biodiversity;capacity building;cÃ³digo abierto;Conservation of Natural Resources;critical appraisal;datos abiertos;decision making;environmental protection;evidence-based decision-making;farmers knowledge;human;Humans;knowledge mobilization;movilizaciÃ³n del conocimiento;open access;open code;open data;open education resources;personnel;recursos educativos abiertos;Research Personnel;toma de decisiones basada en evidencias;transparencia;transparency;valuaciÃ³n crÃ­tica;ä¸¥æ ¼è¯„ä»·;å¼€æ”¾ä»£ç ;å¼€æ”¾å­˜å–;å¼€æ”¾æ•™è‚²èµ„æº;å¼€æ”¾æ•°æ®;å¾ªè¯å†³ç­–;çŸ¥è¯†åŠ¨å‘˜;é€æ˜Žåº¦</t>
  </si>
  <si>
    <t>rayyan-153487087</t>
  </si>
  <si>
    <t>How Conservation Practice Can Generate Evidence</t>
  </si>
  <si>
    <t>Transforming Conservation: A Practical Guide to Evidence and Decision Making</t>
  </si>
  <si>
    <t>305-330</t>
  </si>
  <si>
    <t>Ockendon, N. and Cadotte, M.W. and Eklund, J. and Ferraro, P.J. and Fisher, M. and Hancock, M. and Worthington, T.A.</t>
  </si>
  <si>
    <t>https://www.scopus.com/inward/record.uri?eid=2-s2.0-85174118940&amp;doi=10.11647%2fOBP.0321.10&amp;partnerID=40&amp;md5=ce639d67e82fb9571294dc1c266e0fb8</t>
  </si>
  <si>
    <t>rayyan-153487101</t>
  </si>
  <si>
    <t>Knowledge exchange and policy influence in a marine resource governance network</t>
  </si>
  <si>
    <t>178-188</t>
  </si>
  <si>
    <t>Weiss, K. and Hamann, M. and Kinney, M. and Marsh, H.</t>
  </si>
  <si>
    <t>https://www.scopus.com/inward/record.uri?eid=2-s2.0-84855992192&amp;doi=10.1016%2fj.gloenvcha.2011.09.007&amp;partnerID=40&amp;md5=e1f8276375e00733b0c7b09cc613dc44</t>
  </si>
  <si>
    <t>&lt;p&gt;Export Date: 27 January 2025; Cited By: 93&lt;/p&gt; | RAYYAN-INCLUSION: {"Elina"=&gt;"Included", "Alec"=&gt;"Included"}</t>
  </si>
  <si>
    <t>10.1016/j.gloenvcha.2011.09.007</t>
  </si>
  <si>
    <t>Australia;Cheloniidae;Co-management;Cross-scale;ecosystem resilience;governance approach;marine mammal;Marine wildlife;Natural resource management;policy making;Resource governance;resource management;social network;Social networks;Social-ecological resilience;stakeholder;Testudines;turtle;wildlife management</t>
  </si>
  <si>
    <t>rayyan-153487102</t>
  </si>
  <si>
    <t>Risks, decisions and biological conservation</t>
  </si>
  <si>
    <t>485-489</t>
  </si>
  <si>
    <t>Burgman, M.A. and Yemshanov, D.</t>
  </si>
  <si>
    <t>https://www.scopus.com/inward/record.uri?eid=2-s2.0-84877342990&amp;doi=10.1111%2fddi.12060&amp;partnerID=40&amp;md5=f003c0a648df6747e1e338b8fd25cc1b</t>
  </si>
  <si>
    <t>&lt;p&gt;Export Date: 27 January 2025; Cited By: 18&lt;/p&gt; | RAYYAN-INCLUSION: {"Aidan"=&gt;"Excluded"}</t>
  </si>
  <si>
    <t>10.1111/ddi.12060</t>
  </si>
  <si>
    <t>Biosecurity;conservation management;Decision analysis;decision making;global perspective;Invasive species;Policy;policy development;population distribution;population modeling;Population viability;risk assessment;Risk assessment;Spatial analysis;species diversity;Threatened species;Uncertainty</t>
  </si>
  <si>
    <t>rayyan-153487105</t>
  </si>
  <si>
    <t>The Canadian context for evidence-based conservation and environmental management</t>
  </si>
  <si>
    <t>Environmental Evidence</t>
  </si>
  <si>
    <t>Cooke, S.J. and Rice, J.C. and Prior, K.A. and Bloom, R. and Jensen, O. and Browne, D.R. and Donaldson, L.A. and Bennett, J.R. and Vermaire, J.C. and Auld, G.</t>
  </si>
  <si>
    <t>https://www.scopus.com/inward/record.uri?eid=2-s2.0-84978531977&amp;doi=10.1186%2fs13750-016-0065-8&amp;partnerID=40&amp;md5=c242c24069a39e818ef89f5cfcac7da1</t>
  </si>
  <si>
    <t>&lt;p&gt;Export Date: 27 January 2025; Cited By: 23&lt;/p&gt; | RAYYAN-INCLUSION: {"Carlos"=&gt;"Excluded", "Elina"=&gt;"Excluded"}</t>
  </si>
  <si>
    <t>10.1186/s13750-016-0065-8</t>
  </si>
  <si>
    <t>Canada;Conservation;Decision-making;Evidence;Resource management;Science-Policy Interface</t>
  </si>
  <si>
    <t>rayyan-153487107</t>
  </si>
  <si>
    <t>Achieving conservation science that bridges the knowledge-action boundary</t>
  </si>
  <si>
    <t>669-678</t>
  </si>
  <si>
    <t>Cook, C.N. and Mascia, M.B. and Schwartz, M.W. and Possingham, H.P. and Fuller, R.A.</t>
  </si>
  <si>
    <t>https://www.scopus.com/inward/record.uri?eid=2-s2.0-84880699866&amp;doi=10.1111%2fcobi.12050&amp;partnerID=40&amp;md5=a788d82786dd66be56f2e3890a84f35e</t>
  </si>
  <si>
    <t>&lt;p&gt;Export Date: 27 January 2025; Cited By: 398&lt;/p&gt; | RAYYAN-INCLUSION: {"Carlos"=&gt;"Excluded"}</t>
  </si>
  <si>
    <t>10.1111/cobi.12050</t>
  </si>
  <si>
    <t>action plan;article;boundary organizations;Boundary organizations;boundary science;Boundary science;ciencia de frontera;Conservation of Natural Resources;conservation planning;decision making;Decision making;ecology;Ecology;environmental management;Environmental management;environmental protection;implementation gap;Implementation gap;implementation process;incertidumbre cientÃ­fica;knowledge;management;manejo ambiental;methodology;organizaciones de frontera;policy;Policy Making;Public Policy;research and development;Research Design;resource management;scientific uncertainty;Scientific uncertainty;toma de decisiones;vacÃ­o de implementaciÃ³n</t>
  </si>
  <si>
    <t>rayyan-153487109</t>
  </si>
  <si>
    <t>Stakeholder-led science: Engaging resource managers to identify science needs for long-term management of floodplain conservation lands</t>
  </si>
  <si>
    <t>Bouska, K.L. and Lindner, G.A. and Paukert, C.P. and Jacobson, R.B.</t>
  </si>
  <si>
    <t>https://www.scopus.com/inward/record.uri?eid=2-s2.0-84989154353&amp;doi=10.5751%2fES-08620-210312&amp;partnerID=40&amp;md5=9ed5c3bc33693ffb8b7891dc3a39f8a0</t>
  </si>
  <si>
    <t>&lt;p&gt;Export Date: 27 January 2025; Cited By: 8&lt;/p&gt; | RAYYAN-INCLUSION: {"Tabitha"=&gt;"Included", "Elina"=&gt;"Included"}</t>
  </si>
  <si>
    <t>10.5751/ES-08620-210312</t>
  </si>
  <si>
    <t>Aves;conservation management;decision making;floodplain;Floodplain management;guideline;Inundation;Large rivers;Mississippi River;Mississippi river basin;Missouri River;Nonstationarity;participatory approach;Reptilia;resource management;stakeholder;targeting;United States</t>
  </si>
  <si>
    <t>rayyan-153487118</t>
  </si>
  <si>
    <t>Tracking wetland loss to improve evidence-based wetland policy learning and decision making</t>
  </si>
  <si>
    <t>Wetlands Ecology and Management</t>
  </si>
  <si>
    <t>235-245</t>
  </si>
  <si>
    <t>Clare, S. and Creed, I.F.</t>
  </si>
  <si>
    <t>https://www.scopus.com/inward/record.uri?eid=2-s2.0-84900443682&amp;doi=10.1007%2fs11273-013-9326-2&amp;partnerID=40&amp;md5=f5df5742279ad0a9a7beb2f775ae8562</t>
  </si>
  <si>
    <t>&lt;p&gt;Export Date: 27 January 2025; Cited By: 45&lt;/p&gt; | RAYYAN-INCLUSION: {"Philip"=&gt;"Excluded", "Sarah"=&gt;"Included"}</t>
  </si>
  <si>
    <t>10.1007/s11273-013-9326-2</t>
  </si>
  <si>
    <t>Alberta;Canada;Compensation;Conservation;conservation management;decision making;governance approach;habitat loss;inventory;Inventory;local government;Policy analytic capacity;remote sensing;Remote sensing;tracking;wetland;Wetland;wetland management</t>
  </si>
  <si>
    <t>rayyan-153487121</t>
  </si>
  <si>
    <t>Doing more good than harm - Building an evidence-base for conservation and environmental management</t>
  </si>
  <si>
    <t>931-934</t>
  </si>
  <si>
    <t>https://www.scopus.com/inward/record.uri?eid=2-s2.0-62049085110&amp;doi=10.1016%2fj.biocon.2009.01.010&amp;partnerID=40&amp;md5=31152608cd0d89c70b44c6523f5fecde</t>
  </si>
  <si>
    <t>&lt;p&gt;Export Date: 27 January 2025; Cited By: 210&lt;/p&gt; | RAYYAN-INCLUSION: {"Philip"=&gt;"Excluded"}</t>
  </si>
  <si>
    <t>10.1016/j.biocon.2009.01.010</t>
  </si>
  <si>
    <t>adaptive management;Adaptive management;biodiversity;conservation management;Conservation management;Conservation planning;Conservation policy;decision making;Environmental evidence;environmental policy;health care;literature review;Systematic review</t>
  </si>
  <si>
    <t>rayyan-153487126</t>
  </si>
  <si>
    <t>From Climate Change to Pandemics: Decision Science Can Help Scientists Have Impact</t>
  </si>
  <si>
    <t>Baker, C.M. and Campbell, P.T. and Chades, I. and Dean, A.J. and Hester, S.M. and Holden, M.H. and McCaw, J.M. and McVernon, J. and Moss, R. and Shearer, F.M. and Possingham, H.P.</t>
  </si>
  <si>
    <t>https://www.scopus.com/inward/record.uri?eid=2-s2.0-85125469053&amp;doi=10.3389%2ffevo.2022.792749&amp;partnerID=40&amp;md5=3886267fd68ab3a15bee41bcfd39c0a4</t>
  </si>
  <si>
    <t>&lt;p&gt;Export Date: 27 January 2025; Cited By: 9&lt;/p&gt; | RAYYAN-INCLUSION: {"Philip"=&gt;"Excluded", "Aidan"=&gt;"Excluded", "Isobel"=&gt;"Excluded"}</t>
  </si>
  <si>
    <t>10.3389/fevo.2022.792749</t>
  </si>
  <si>
    <t>conservation;decision making;epidemiology;modeling;public policy</t>
  </si>
  <si>
    <t>rayyan-153487127</t>
  </si>
  <si>
    <t>Structured decision making to navigate trade-offs between multiple conservation values in threatened grasslands</t>
  </si>
  <si>
    <t>Regan, T.J. and MacHunter, J. and Sinclair, S.J. and Bruce, M.J. and Neil, J. and Parker, E. and Nam, B.</t>
  </si>
  <si>
    <t>https://www.scopus.com/inward/record.uri?eid=2-s2.0-85160088476&amp;doi=10.1111%2fcsp2.12953&amp;partnerID=40&amp;md5=b36f327870ca42d4c2ff4b2ee3606bce</t>
  </si>
  <si>
    <t>&lt;p&gt;Export Date: 27 January 2025; Cited By: 2&lt;/p&gt; | RAYYAN-INCLUSION: {"Matthew"=&gt;"Included", "Philip"=&gt;"Excluded"}</t>
  </si>
  <si>
    <t>10.1111/csp2.12953</t>
  </si>
  <si>
    <t>grasslands;structured decision making;threatened ecosystems;threatened species;trade-offs;value preferences</t>
  </si>
  <si>
    <t>rayyan-153487130</t>
  </si>
  <si>
    <t>Integrating diverse scientific and practitioner knowledge in ecological risk analysis: A case study of biodiversity risk assessment in South Africa</t>
  </si>
  <si>
    <t>134-146</t>
  </si>
  <si>
    <t>Dana, G.V. and Kapuscinski, A.R. and Donaldson, J.S.</t>
  </si>
  <si>
    <t>https://www.scopus.com/inward/record.uri?eid=2-s2.0-84856803840&amp;doi=10.1016%2fj.jenvman.2011.12.021&amp;partnerID=40&amp;md5=8e1477d3298c5d10e68d2e57d81dbd2d</t>
  </si>
  <si>
    <t>&lt;p&gt;Export Date: 27 January 2025; Cited By: 19&lt;/p&gt; | RAYYAN-INCLUSION: {"Sarah"=&gt;"Included"}</t>
  </si>
  <si>
    <t>10.1016/j.jenvman.2011.12.021</t>
  </si>
  <si>
    <t>agricultural ecosystem;Agro-ecosystems;article;biocontrol agent;biodiversity;Biodiversity;Biodiversity monitoring;biotechnology;Biotechnology;community structure;Conservation;Conservation biology;conservation genetics;decision making;Decision making;Ecological risk analyse;Ecological risk analysis;Ecological risks;ecology;ecosystem;Ecosystems;Environmental decision making;genetically modified organism;Hazards;human;integrated approach;invasive species;knowledge;Knowledge based systems;participatory approach;Participatory environmental decision-making;pollutant;Potential impacts;prioritization;Risk analysis;risk assessment;Risk assessment;Risks assessments;scientist;semi structured interview;South Africa;statistics;toxicity;transgenics;Zea mays</t>
  </si>
  <si>
    <t>rayyan-153487133</t>
  </si>
  <si>
    <t>Moving towards public policy-ready science: philosophical insights on the social-ecological systems perspective for conservation science</t>
  </si>
  <si>
    <t>232-246</t>
  </si>
  <si>
    <t>Sala, J.E. and Torchio, G.</t>
  </si>
  <si>
    <t>https://www.scopus.com/inward/record.uri?eid=2-s2.0-85072073773&amp;doi=10.1080%2f26395916.2019.1657502&amp;partnerID=40&amp;md5=272cd00f9fd970b8d6450ee96f6f6f90</t>
  </si>
  <si>
    <t>&lt;p&gt;Export Date: 27 January 2025; Cited By: 30&lt;/p&gt; | RAYYAN-INCLUSION: {"Alec"=&gt;"Excluded"}</t>
  </si>
  <si>
    <t>10.1080/26395916.2019.1657502</t>
  </si>
  <si>
    <t>conservation management;decision making;Dialectics of nature;ecological approach;ecosystem service;ecosystem services;environmental philosophy;ethics;knowledge;nature-society relations;perception;philosophy;policy making;policy-making;public attitude;science and technology;science-policy interface;sustainability</t>
  </si>
  <si>
    <t>rayyan-153487146</t>
  </si>
  <si>
    <t>The case for embedding researchers in conservation agencies</t>
  </si>
  <si>
    <t>1266-1274</t>
  </si>
  <si>
    <t>Roux, D.J. and Kingsford, R.T. and Cook, C.N. and Carruthers, J. and Dickson, K. and Hockings, M.</t>
  </si>
  <si>
    <t>https://www.scopus.com/inward/record.uri?eid=2-s2.0-85066831181&amp;doi=10.1111%2fcobi.13324&amp;partnerID=40&amp;md5=a3e14b4a0b1d4f2e7958220fa81ddbca</t>
  </si>
  <si>
    <t>&lt;p&gt;Export Date: 27 January 2025; Cited By: 34&lt;/p&gt; | RAYYAN-INCLUSION: {"Alec"=&gt;"Excluded"}</t>
  </si>
  <si>
    <t>10.1111/cobi.13324</t>
  </si>
  <si>
    <t>Ã¡reas protegidas;condiciones habilitantes;conservaciÃ³n basada en la evidencia;conservation management;Conservation of Natural Resources;decision making;Decision Making;enabling conditions;environmental protection;evidence-based conservation;intercambio de conocimiento;knowledge exchange;necesidades de investigaciÃ³n;organization;Organizations;protected areas;public sector;quality control;research needs;social capital;stakeholder;standardization</t>
  </si>
  <si>
    <t>rayyan-153487154</t>
  </si>
  <si>
    <t>Making ecosystem-based management a reality: The pacific fishery management council and the California current integrated ecosystem assessment</t>
  </si>
  <si>
    <t>California Cooperative Oceanic Fisheries Investigations Reports</t>
  </si>
  <si>
    <t>79-88</t>
  </si>
  <si>
    <t>Dereynier, Y.</t>
  </si>
  <si>
    <t>https://www.scopus.com/inward/record.uri?eid=2-s2.0-84872788059&amp;partnerID=40&amp;md5=1cc49066785fa816102cc72c2d205992</t>
  </si>
  <si>
    <t>&lt;p&gt;Export Date: 27 January 2025; Cited By: 5&lt;/p&gt; | RAYYAN-INCLUSION: {"Philip"=&gt;"Excluded"}</t>
  </si>
  <si>
    <t>rayyan-153487170</t>
  </si>
  <si>
    <t>Social network analysis reveals a lack of support for greenspace conservation</t>
  </si>
  <si>
    <t>Guenat, S. and Dougill, A.J. and Dallimer, M.</t>
  </si>
  <si>
    <t>https://www.scopus.com/inward/record.uri?eid=2-s2.0-85089553331&amp;doi=10.1016%2fj.landurbplan.2020.103928&amp;partnerID=40&amp;md5=2226b2c0223cf50bf73001c0532008a9</t>
  </si>
  <si>
    <t>&lt;p&gt;Export Date: 27 January 2025; Cited By: 15&lt;/p&gt; | RAYYAN-INCLUSION: {"Isobel"=&gt;"Excluded"}</t>
  </si>
  <si>
    <t>10.1016/j.landurbplan.2020.103928</t>
  </si>
  <si>
    <t>conservation planning;decision making;greenspace;network analysis;questionnaire survey;social network;stakeholder;Sub-Saharan Africa</t>
  </si>
  <si>
    <t>rayyan-153487185</t>
  </si>
  <si>
    <t>Ecological knowledge and North Sea environmental policies</t>
  </si>
  <si>
    <t>449-455</t>
  </si>
  <si>
    <t>de Jong, F.</t>
  </si>
  <si>
    <t>https://www.scopus.com/inward/record.uri?eid=2-s2.0-84948385106&amp;doi=10.1016%2fj.envsci.2015.08.018&amp;partnerID=40&amp;md5=b94f0aa2dcb895a6de05d935d9358dc6</t>
  </si>
  <si>
    <t>&lt;p&gt;Export Date: 27 January 2025; Cited By: 8&lt;/p&gt; | RAYYAN-INCLUSION: {"Philip"=&gt;"Included", "Iris"=&gt;"Included", "Isobel"=&gt;"Included"}</t>
  </si>
  <si>
    <t>10.1016/j.envsci.2015.08.018</t>
  </si>
  <si>
    <t>Article;decision making;environmental planning;environmental protection;eutrophication;Eutrophication;knowledge;management;marine biology;marine environment;North Sea;nutrient loading;policy;pollution;Post-normal science;Precautionary principle;priority journal;quality control;Rational policy-making;science;Science-policy interface;sea pollution</t>
  </si>
  <si>
    <t>rayyan-153487211</t>
  </si>
  <si>
    <t>Epistemology of ignorance: the contribution of philosophy to the science-policy interface of marine biosecurity</t>
  </si>
  <si>
    <t>Schwenkenbecher, A. and Hewitt, C.L. and Heesen, R. and Campbell, M.L. and Fritsch, O. and Knight, A.T. and Nash, E.</t>
  </si>
  <si>
    <t>https://www.scopus.com/inward/record.uri?eid=2-s2.0-85169660902&amp;doi=10.3389%2ffmars.2023.1178949&amp;partnerID=40&amp;md5=bf6cedc44d3055576a2e00789d5c872f</t>
  </si>
  <si>
    <t>10.3389/fmars.2023.1178949</t>
  </si>
  <si>
    <t>bias;evidence;invasion ecology;obligation;uncertainty</t>
  </si>
  <si>
    <t>rayyan-153487217</t>
  </si>
  <si>
    <t>Using Scenario Building and Participatory Mapping to Negotiate Conservation-Development Trade-Offs in Northern Ghana</t>
  </si>
  <si>
    <t>Bayala, E.R.C. and Asubonteng, K.O. and Ros-Tonen, M. and Djoudi, H. and Siangulube, F.S. and Reed, J. and Sunderland, T.</t>
  </si>
  <si>
    <t>https://www.scopus.com/inward/record.uri?eid=2-s2.0-85151426676&amp;doi=10.3390%2fland12030580&amp;partnerID=40&amp;md5=f2045dcd81338c78305c95d83008824b</t>
  </si>
  <si>
    <t>&lt;p&gt;Export Date: 27 January 2025; Cited By: 6&lt;/p&gt; | RAYYAN-INCLUSION: {"Philip"=&gt;"Excluded"}</t>
  </si>
  <si>
    <t>10.3390/land12030580</t>
  </si>
  <si>
    <t>biodiversity;community resource management;community resource management area (CREMA);consensus-building;conservation management;conservation-development trade-offs;decision making;economic activity;economic development;environmental economics;Ghana;governance approach;integrated landscape approach;local participation;northern Ghana;participatory approach;participatory mapping;power relations;scenario analysis;scenario building;stakeholder;trade-off;wildlife management</t>
  </si>
  <si>
    <t>rayyan-153487252</t>
  </si>
  <si>
    <t>Sutherland, W.J. and Brotherton, P.N.M. and Davies, Z.G. and Ockendon, N. and Pettorelli, N. and Vickery, J.A.</t>
  </si>
  <si>
    <t>https://www.scopus.com/inward/record.uri?eid=2-s2.0-85120082746&amp;doi=10.1017%2f9781108638210&amp;partnerID=40&amp;md5=7cb5513e613dd2e8a6afe2be2697e224</t>
  </si>
  <si>
    <t>&lt;p&gt;Export Date: 27 January 2025; Cited By: 13&lt;/p&gt; | RAYYAN-INCLUSION: {"Philip"=&gt;"Excluded", "Nibedita"=&gt;"Excluded"}</t>
  </si>
  <si>
    <t>rayyan-153487256</t>
  </si>
  <si>
    <t>What women landowners want to know about conservation</t>
  </si>
  <si>
    <t>Renewable Agriculture and Food Systems</t>
  </si>
  <si>
    <t>Tong, J. and Benning, J. and Delong, C. and Schultz, M. and Zhang, W.</t>
  </si>
  <si>
    <t>https://www.scopus.com/inward/record.uri?eid=2-s2.0-85212532927&amp;doi=10.1017%2fS1742170524000243&amp;partnerID=40&amp;md5=bacb1224480d9e8ba0b2f7eee13eefc4</t>
  </si>
  <si>
    <t>10.1017/S1742170524000243</t>
  </si>
  <si>
    <t>agricultural extension;conservation management;conservation practice;extension and outreach;farmer survey;Iowa;landownership;non-operating landowner;survey;United States;women landowners;womens status</t>
  </si>
  <si>
    <t>rayyan-153487264</t>
  </si>
  <si>
    <t>Systematic reviews and maps as tools for applying behavioral ecology to management and policy</t>
  </si>
  <si>
    <t>Behavioral Ecology</t>
  </si>
  <si>
    <t>Berger-Tal, O. and Greggor, A.L. and Macura, B. and Adams, C.A. and Blumenthal, A. and Bouskila, A. and Candolin, U. and Doran, C. and FernÃ¡ndez-Juricic, E. and Gotanda, K.M. and Price, C. and Putman, B.J. and Segoli, M. and Snijders, L. and Wong, B.B.M. and Blumstein, D.T.</t>
  </si>
  <si>
    <t>https://www.scopus.com/inward/record.uri?eid=2-s2.0-85058680792&amp;doi=10.1093%2fbeheco%2fary130&amp;partnerID=40&amp;md5=e21b3b4f01b4a7a44afa3131b3631f6f</t>
  </si>
  <si>
    <t>&lt;p&gt;Export Date: 27 January 2025; Cited By: 53&lt;/p&gt; | RAYYAN-INCLUSION: {"Philip"=&gt;"Excluded", "Nibedita"=&gt;"Excluded"}</t>
  </si>
  <si>
    <t>10.1093/beheco/ary130</t>
  </si>
  <si>
    <t>Animalia;applied animal behavior;behavioral ecology;conservation behavior;conservation management;conservation planning;decision making;evidence-based management;literature review;meta-analysis;policy impact;policy making;stakeholder;systematic maps</t>
  </si>
  <si>
    <t>rayyan-153487268</t>
  </si>
  <si>
    <t>The major barriers to evidence-informed conservation policy and possible solutions</t>
  </si>
  <si>
    <t>Rose, D.C. and Sutherland, W.J. and Amano, T. and GonzÃ¡lez-Varo, J.P. and Robertson, R.J. and Simmons, B.I. and Wauchope, H.S. and Kovacs, E. and DurÃ¡n, A.P. and Vadrot, A.B.M. and Wu, W. and Dias, M.P. and Di Fonzo, M.M.I. and Ivory, S. and Norris, L. and Nunes, M.H. and Nyumba, T.O. and Steiner, N. and Vickery, J. and Mukherjee, N.</t>
  </si>
  <si>
    <t>https://www.scopus.com/inward/record.uri?eid=2-s2.0-85046550835&amp;doi=10.1111%2fconl.12564&amp;partnerID=40&amp;md5=d4672c6020b30a61144b1c51fe21f683</t>
  </si>
  <si>
    <t>&lt;p&gt;Export Date: 27 January 2025; Cited By: 89&lt;/p&gt; | RAYYAN-INCLUSION: {"Iris"=&gt;"Included"}</t>
  </si>
  <si>
    <t>10.1111/conl.12564</t>
  </si>
  <si>
    <t>conservation policy;evidence-based conservation;evidence-informed conservation;knowledge exchange;political science;science communication;science-policy</t>
  </si>
  <si>
    <t>rayyan-153487269</t>
  </si>
  <si>
    <t>A causal modelling approach to informing woodland caribou conservation policy from observational studies</t>
  </si>
  <si>
    <t>Wilson, S.F. and Nudds, T.D. and de Vries, A.</t>
  </si>
  <si>
    <t>https://www.scopus.com/inward/record.uri?eid=2-s2.0-85118475301&amp;doi=10.1016%2fj.biocon.2021.109370&amp;partnerID=40&amp;md5=c470b638dc52541dcdfbebfa247bd2f8</t>
  </si>
  <si>
    <t>&lt;p&gt;Export Date: 27 January 2025; Cited By: 4&lt;/p&gt; | RAYYAN-INCLUSION: {"Nibedita"=&gt;"Excluded", "Isobel"=&gt;"Excluded"}</t>
  </si>
  <si>
    <t>10.1016/j.biocon.2021.109370</t>
  </si>
  <si>
    <t>Canada;Causal modelling;conservation management;conservation planning;decision making;deer;ecological modeling;endangered species;Habitat disturbance;Linear features;population decline;Predation;Rangifer tarandus caribou;stakeholder;woodland;Woodland caribou</t>
  </si>
  <si>
    <t>rayyan-153487270</t>
  </si>
  <si>
    <t>Perspectives on disconnects between scientific information and management decisions on post-fire recovery in Western US</t>
  </si>
  <si>
    <t>1415-1426</t>
  </si>
  <si>
    <t>Chen, X. and Emery, N. and Garcia, E.S. and Hanan, E.J. and Hodges, H.E. and Martin, T. and Meyers, M.A. and Peavey, L.E. and Peng, H. and Santamaria, J.S. and Uyeda, K.A. and Anderson, S.E. and Tague, C.</t>
  </si>
  <si>
    <t>https://www.scopus.com/inward/record.uri?eid=2-s2.0-84889778304&amp;doi=10.1007%2fs00267-013-0165-y&amp;partnerID=40&amp;md5=ab18f1dece3292cc6f90cd0accf98e04</t>
  </si>
  <si>
    <t>&lt;p&gt;Export Date: 27 January 2025; Cited By: 6&lt;/p&gt; | RAYYAN-INCLUSION: {"Matthew"=&gt;"Excluded"}</t>
  </si>
  <si>
    <t>10.1007/s00267-013-0165-y</t>
  </si>
  <si>
    <t>article;Best available science;Conservation of Natural Resources;data analysis;decision making;Decision making;Decision Making, Organizational;decision support system;Decision Support Techniques;economics;environmental management;environmental monitoring;environmental planning;environmental policy;environmental protection;Environmental regulations;Financial incentives;financial management;fire;Fires;flooding;Forestry;government;Government Agencies;information dissemination;Information Dissemination;information processing;land management;legislation and jurisprudence;Management decisions;Northwestern United States;organization;organization and management;policy approach;Policy-relevant science;politics;Politics;procedures;regulatory framework;Risk;Risks;Scientific findings;Scientific information;sociology;soil erosion;Southwestern United States;Spatial and temporal scale;spatiotemporal analysis;time;Time Factors;Uncertainty;uncertainty analysis;United States</t>
  </si>
  <si>
    <t>rayyan-153487274</t>
  </si>
  <si>
    <t>Priority Threat Management for biodiversity conservation: A handbook</t>
  </si>
  <si>
    <t>481-490</t>
  </si>
  <si>
    <t>Carwardine, J. and Martin, T.G. and Firn, J. and Reyes, R.P. and Nicol, S. and Reeson, A. and Grantham, H.S. and Stratford, D. and Kehoe, L. and ChadÃ¨s, I.</t>
  </si>
  <si>
    <t>https://www.scopus.com/inward/record.uri?eid=2-s2.0-85053483686&amp;doi=10.1111%2f1365-2664.13268&amp;partnerID=40&amp;md5=4a4376f898ca4e12adfb8230a67316ce</t>
  </si>
  <si>
    <t>&lt;p&gt;Export Date: 27 January 2025; Cited By: 65&lt;/p&gt; | RAYYAN-INCLUSION: {"Sarah"=&gt;"Excluded"}</t>
  </si>
  <si>
    <t>10.1111/1365-2664.13268</t>
  </si>
  <si>
    <t>Austin [Western Australia];Australia;biodiversity;biodiversity conservation;Canada;conservation management;conservation status;cost analysis;cost-effectiveness analysis;decision making;endangered species;expert elicitation;extinction;Prioritising Threat Management;protected area;return on investment;strategic approach;structured decision-making;threatened species;Western Australia</t>
  </si>
  <si>
    <t>rayyan-153487282</t>
  </si>
  <si>
    <t>Enabling successful science-policy knowledge exchange between marine biodiversity research and management: An Australian case study</t>
  </si>
  <si>
    <t>291-306</t>
  </si>
  <si>
    <t>Karcher, D.B. and Cvitanovic, C. and Colvin, R. and van Putten, I.</t>
  </si>
  <si>
    <t>https://www.scopus.com/inward/record.uri?eid=2-s2.0-85174238798&amp;doi=10.1002%2feet.2078&amp;partnerID=40&amp;md5=ecfda38103d11249f9103ea81abded56</t>
  </si>
  <si>
    <t>10.1002/eet.2078</t>
  </si>
  <si>
    <t>Australia;biodiversity;biodiversity conservation;co-design;decision making;evidence-informed management;knowledge;knowledge broker;knowledge co-production;management;transdisciplinary research</t>
  </si>
  <si>
    <t>rayyan-153487283</t>
  </si>
  <si>
    <t>Application of information and communication technology and data sharing management scheme for the coastal fishery using real-time fishery information</t>
  </si>
  <si>
    <t>77-86</t>
  </si>
  <si>
    <t>Saville, R. and Hatanaka, K. and Sano, M. and Wada, M.</t>
  </si>
  <si>
    <t>https://www.scopus.com/inward/record.uri?eid=2-s2.0-84921784886&amp;doi=10.1016%2fj.ocecoaman.2015.01.019&amp;partnerID=40&amp;md5=385e1e61c2869fb2f01e4863da61dac7</t>
  </si>
  <si>
    <t>10.1016/j.ocecoaman.2015.01.019</t>
  </si>
  <si>
    <t>algorithm;Area method;catch statistics;catchability;Catchable stock index;Cloud computing;coastal fishery;data acquisition;data management;Data Sharing;echinoderm;Finance;Fisheries;Fishing vessels;GIS;Hokkaido;Holothuroidea;ICT;information and communication technology;Information management;Information use;Japan;real time;Real-time data;Real-time data sharing;Sea cucumber;Self management;Self-management support;software;Stock indices;Swept area method</t>
  </si>
  <si>
    <t>rayyan-153487285</t>
  </si>
  <si>
    <t>The researcherâ€“practitioner symbiosis: Evolving mutualisms from parachutes</t>
  </si>
  <si>
    <t>Vargas, M.T. and Garcia, M. and Vidaurre, T. and Carrasco, A. and Araujo, N. and Medema, C. and Asquith, N. and Pynegar, E. and Tobon, C. and Manco, Y. and Ma, Z. and Bauchet, J. and Grillos, T. and McWherter, B.</t>
  </si>
  <si>
    <t>https://www.scopus.com/inward/record.uri?eid=2-s2.0-85130484417&amp;doi=10.1111%2fcsp2.596&amp;partnerID=40&amp;md5=81eca70180bcde7b8804ba3def781e33</t>
  </si>
  <si>
    <t>&lt;p&gt;Export Date: 27 January 2025; Cited By: 6&lt;/p&gt; | RAYYAN-INCLUSION: {"Alice"=&gt;"Excluded"}</t>
  </si>
  <si>
    <t>10.1111/csp2.596</t>
  </si>
  <si>
    <t>co-production;collaborative science;evidence-based conservation;knowledge-action gap;research-implementation gap;science-practice gap</t>
  </si>
  <si>
    <t>rayyan-153487305</t>
  </si>
  <si>
    <t>How forest data catalysed change in four successful case studies</t>
  </si>
  <si>
    <t>Neeff, T. and Steel, E.A. and Kleinn, C. and Hung, N.D. and Bien, N.N. and Cerutti, P.O. and Moutinho, P.</t>
  </si>
  <si>
    <t>https://www.scopus.com/inward/record.uri?eid=2-s2.0-85087588196&amp;doi=10.1016%2fj.jenvman.2020.110736&amp;partnerID=40&amp;md5=244c711fc10bf96a43732b1d215c1e2d</t>
  </si>
  <si>
    <t>&lt;p&gt;Export Date: 27 January 2025; Cited By: 2&lt;/p&gt; | RAYYAN-INCLUSION: {"Tabitha"=&gt;"Excluded"}</t>
  </si>
  <si>
    <t>10.1016/j.jenvman.2020.110736</t>
  </si>
  <si>
    <t>achievement;article;Brazil;Cameroon;case report;catalysis;clinical article;Conservation of Natural Resources;Data-driven;decision making;deforestation;Deforestation;developing country;developing world;environmental protection;Evidence-based decision making;forest;Forest governance;Forest inventory;forest management;Forest monitoring;Forest policy;Forests;policy making;problem solving;public policy;Public Policy;sound;spatiotemporal analysis;supply chain management;Viet Nam;Vietnam</t>
  </si>
  <si>
    <t>rayyan-153487311</t>
  </si>
  <si>
    <t>Decision support tools in marine spatial planning: Present applications, gaps and future perspectives</t>
  </si>
  <si>
    <t>83-91</t>
  </si>
  <si>
    <t>PÄ±narbaÅŸÄ±, K. and Galparsoro, I. and Borja, Ã. and StelzenmÃ¼ller, V. and Ehler, C.N. and Gimpel, A.</t>
  </si>
  <si>
    <t>https://www.scopus.com/inward/record.uri?eid=2-s2.0-85019693803&amp;doi=10.1016%2fj.marpol.2017.05.031&amp;partnerID=40&amp;md5=6b897db0b6e4aa8864f96f3e2e6d80e9</t>
  </si>
  <si>
    <t>&lt;p&gt;Export Date: 27 January 2025; Cited By: 135&lt;/p&gt; | RAYYAN-INCLUSION: {"Alec"=&gt;"Excluded"}</t>
  </si>
  <si>
    <t>10.1016/j.marpol.2017.05.031</t>
  </si>
  <si>
    <t>complexity;decision making;decision support system;implementation process;management;Management plan;marine policy;Marine spatial planning;Maritime activities;scenario analysis;Scenarios;spatial planning;Spatial use conflicts;Spatially explicit tools;stakeholder</t>
  </si>
  <si>
    <t>rayyan-153487340</t>
  </si>
  <si>
    <t>The politics of participation in watershed modeling</t>
  </si>
  <si>
    <t>161-176</t>
  </si>
  <si>
    <t>Korfmacher, K.S.</t>
  </si>
  <si>
    <t>https://www.scopus.com/inward/record.uri?eid=2-s2.0-0035076583&amp;doi=10.1007%2fs002670010141&amp;partnerID=40&amp;md5=1925fe7e59ca51ea7905925f442d6c76</t>
  </si>
  <si>
    <t>&lt;p&gt;Export Date: 27 January 2025; Cited By: 138&lt;/p&gt; | RAYYAN-INCLUSION: {"Alice"=&gt;"Excluded"}</t>
  </si>
  <si>
    <t>10.1007/s002670010141</t>
  </si>
  <si>
    <t>community;computer model;Conservation of Natural Resources;Consumer Participation;decision making;Decision making;Decision Making;Environment;environmental management;Humans;Industrial management;local participation;modeling;Models, Theoretical;participatory approach;policy;politics;Politics;public opinion;Public participation;Public policy;review;Science and policy;water management;Water quality modeling;Water Supply;watershed;Watershed management;Watershed modeling;Watersheds</t>
  </si>
  <si>
    <t>rayyan-153487341</t>
  </si>
  <si>
    <t>Informing conservation decisions through evidence synthesis and communication</t>
  </si>
  <si>
    <t>114-128</t>
  </si>
  <si>
    <t>Pullin, A.S. and Cheng, S.H. and Cooke, S.J. and Haddaway, N.R. and Macura, B.J. and McKinnon, M.C. and Taylor, J.J.</t>
  </si>
  <si>
    <t>https://www.scopus.com/inward/record.uri?eid=2-s2.0-85090225055&amp;doi=10.1017%2f9781108638210.007&amp;partnerID=40&amp;md5=cd9ac042a05b9339789ed90fb06243b4</t>
  </si>
  <si>
    <t>&lt;p&gt;Export Date: 27 January 2025; Cited By: 26&lt;/p&gt; | RAYYAN-INCLUSION: {"Matthew"=&gt;"Excluded"}</t>
  </si>
  <si>
    <t>conservation management;conservation policy;decision support;evidence-informed conservation;systematic map;systematic review</t>
  </si>
  <si>
    <t>rayyan-153487348</t>
  </si>
  <si>
    <t>Strategies for integrating scientific evidence in water policy and law in the face of uncertainty</t>
  </si>
  <si>
    <t>KotamÃ¤ki, N. and Arhonditsis, G. and Hjerppe, T. and HyytiÃ¤inen, K. and Malve, O. and Ovaskainen, O. and Paloniitty, T. and SimilÃ¤, J. and Soininen, N. and Weigel, B. and Heiskanen, A.-S.</t>
  </si>
  <si>
    <t>https://www.scopus.com/inward/record.uri?eid=2-s2.0-85192063920&amp;doi=10.1016%2fj.scitotenv.2024.172855&amp;partnerID=40&amp;md5=8a0af8e618dfc2f9ea87adc75e408f2d</t>
  </si>
  <si>
    <t>&lt;p&gt;Export Date: 27 January 2025; Cited By: 2&lt;/p&gt; | RAYYAN-INCLUSION: {"Matthew"=&gt;"Excluded"}</t>
  </si>
  <si>
    <t>10.1016/j.scitotenv.2024.172855</t>
  </si>
  <si>
    <t>aquatic environment;Conservation of Water Resources;decision making;Decision making;Decision Making;ecosystem;Ecosystem;Ecosystems;environmental change;Environmental change;environmental health;environmental impact;Environmental impact;Environmental management;environmental monitoring;Environmental Monitoring;environmental policy;Environmental Policy;environmental protection;environmental surveillance;freshwater environment;human;Human actions;information processing;Knowledge management;law;learning;management theory;mathematical model;numerical model;Policies and laws;policy;procedures;qualitative research;quality control;Quality management;Review;Scientific evidence;Scientific tool;stakeholder participation;total quality management;uncertainty;Uncertainty;validation process;wastewater;water;water conservation;Water conservation;Water laws;water management;Water management;Water policies;water pollution;water quality;Water quality;Water Quality;water resource;water supply;Water Supply;Waters managements;Waters resources</t>
  </si>
  <si>
    <t>rayyan-153487353</t>
  </si>
  <si>
    <t>The rise and rise of predator control: a panacea, or a distraction from conservation goals?</t>
  </si>
  <si>
    <t>New Zealand Journal of Ecology</t>
  </si>
  <si>
    <t>Leathwick, J.R. and Byrom, A.E.</t>
  </si>
  <si>
    <t>https://www.scopus.com/inward/record.uri?eid=2-s2.0-85149035659&amp;doi=10.20417%2fnzjecol.47.3515&amp;partnerID=40&amp;md5=f1d6169cb60983e086d935644aec04c5</t>
  </si>
  <si>
    <t>&lt;p&gt;Export Date: 27 January 2025; Cited By: 8&lt;/p&gt; | RAYYAN-INCLUSION: {"Tabitha"=&gt;"Excluded", "Elina"=&gt;"Excluded"}</t>
  </si>
  <si>
    <t>10.20417/nzjecol.47.3515</t>
  </si>
  <si>
    <t>biodiversity;biodiversity governance;community engagement;community organization;conservation planning;conservation policy;ecosystem management;ecosystem restoration;governance approach;invasive mammal;invasive species;leadership;mammal;national goals;national planning;New Zealand;pest management;policy development;predator control;Predator-Free New Zealand;restoration ecology;ungulate</t>
  </si>
  <si>
    <t>rayyan-153487364</t>
  </si>
  <si>
    <t>The importance of expert selection when identifying threatened ecosystems</t>
  </si>
  <si>
    <t>Travers, S.K. and Dorrough, J. and Shannon, I. and Val, J. and Scott, M.L. and Moutou, C.J. and Oliver, I.</t>
  </si>
  <si>
    <t>https://www.scopus.com/inward/record.uri?eid=2-s2.0-85171270422&amp;doi=10.1111%2fcobi.14151&amp;partnerID=40&amp;md5=4ce928793d14a803e04c512896262293</t>
  </si>
  <si>
    <t>&lt;p&gt;Export Date: 27 January 2025; Cited By: 3&lt;/p&gt; | RAYYAN-INCLUSION: {"Tabitha"=&gt;"Excluded", "Elina"=&gt;"Excluded"}</t>
  </si>
  <si>
    <t>10.1111/cobi.14151</t>
  </si>
  <si>
    <t>Ã¡rboles de regresiÃ³n reforzada;Australia;boosted regression trees;bosques de boj;box gum woodland;comunidad ecolÃ³gica en peligro crÃ­tico;conservation management;Conservation of Natural Resources;consulta de expertos;critically endangered ecological community;decision making;ecosistema en peligro;ecosystem;Ecosystem;ecosystem management;endangered ecosystems;endangered species;environmental protection;evidence-based management;expert elicitation;expert selection;Judgment;juicio experto estructurado;manejo basado en evidencias;selecciÃ³n de expertos;strategic approach;structured expert judgement;uncertainty;Uncertainty;woodland</t>
  </si>
  <si>
    <t>rayyan-153487388</t>
  </si>
  <si>
    <t>Lessons from other disciplines for setting management thresholds for biodiversity conservation</t>
  </si>
  <si>
    <t>Hilton, M. and Walsh, J.C. and Liddell, E. and Cook, C.N.</t>
  </si>
  <si>
    <t>https://www.scopus.com/inward/record.uri?eid=2-s2.0-85122424245&amp;doi=10.1111%2fcobi.13865&amp;partnerID=40&amp;md5=b99b7e6669b449b2bd2dd7c267b2e009</t>
  </si>
  <si>
    <t>&lt;p&gt;Export Date: 27 January 2025; Cited By: 8&lt;/p&gt; | RAYYAN-INCLUSION: {"Philip"=&gt;"Excluded"}</t>
  </si>
  <si>
    <t>10.1111/cobi.13865</t>
  </si>
  <si>
    <t>action plan;agriculture;Agriculture;artificial intelligence;Artificial Intelligence;biodiversity;Biodiversity;biomonitoring;conservation management;Conservation of Natural Resources;decision making;decision triggers;detonantes de decisiones;environmental monitoring;environmental protection;evidence-based management;gestiÃ³n basada en evidencias;gestiÃ³n dependiente del estado;proactive management;procedures;punto de activaciÃ³n;state-dependent management;strategic approach;structured decision-making;threshold;toma estructurada de decisiones;trigger point</t>
  </si>
  <si>
    <t>rayyan-153487393</t>
  </si>
  <si>
    <t>Working with policy-makers for integrating heritage Science research into political priorities</t>
  </si>
  <si>
    <t>Studies in Conservation</t>
  </si>
  <si>
    <t>S248-S256</t>
  </si>
  <si>
    <t>Lee, S.</t>
  </si>
  <si>
    <t>https://www.scopus.com/inward/record.uri?eid=2-s2.0-84954311365&amp;doi=10.1080%2f00393630.2015.1117865&amp;partnerID=40&amp;md5=184a5c16c98f2329ad1620af308c545a</t>
  </si>
  <si>
    <t>10.1080/00393630.2015.1117865</t>
  </si>
  <si>
    <t>Conservation;Decision making;Effective communication;Energy conservation;Evidence-based;Heritage science research prioritization;ICCROM;Policy making;Policy-making;Policy-making actors;Political agenda;Prioritization;Quality of policy</t>
  </si>
  <si>
    <t>rayyan-153487398</t>
  </si>
  <si>
    <t>The role of science in the collaborative forest landscape restoration program</t>
  </si>
  <si>
    <t>34-42</t>
  </si>
  <si>
    <t>Colavito, M.M.</t>
  </si>
  <si>
    <t>https://www.scopus.com/inward/record.uri?eid=2-s2.0-85009380921&amp;doi=10.5849%2fjof.15-142&amp;partnerID=40&amp;md5=51780704d109288d504478c3bce74b4c</t>
  </si>
  <si>
    <t>10.5849/jof.15-142</t>
  </si>
  <si>
    <t>Collaboration;communication;Conservation;decision making;Decision making;Decision Making;Decisionmaking;Ecological factors;empirical analysis;environmental restoration;Forest Fires;Forest landscape restoration;Forest restoration;Forestry;information;Land reclamation;Restoration;Science communication;Science communications;Scientific information;survey;United States;Us department of agricultures;Western United States</t>
  </si>
  <si>
    <t>rayyan-153487399</t>
  </si>
  <si>
    <t>Diverse values of nature for sustainability</t>
  </si>
  <si>
    <t>Nature</t>
  </si>
  <si>
    <t>813-823</t>
  </si>
  <si>
    <t>Pascual, U. and Balvanera, P. and Anderson, C.B. and Chaplin-Kramer, R. and Christie, M. and GonzÃ¡lez-JimÃ©nez, D. and Martin, A. and Raymond, C.M. and Termansen, M. and Vatn, A. and Athayde, S. and Baptiste, B. and Barton, D.N. and Jacobs, S. and Kelemen, E. and Kumar, R. and Lazos, E. and Mwampamba, T.H. and Nakangu, B. and Oâ€™Farrell, P. and Subramanian, S.M. and van Noordwijk, M. and Ahn, S.E. and Amaruzaman, S. and Amin, A.M. and Arias-ArÃ©valo, P. and Arroyo-Robles, G. and CantÃº-FernÃ¡ndez, M. and Castro, A.J. and Contreras, V. and De Vos, A. and Dendoncker, N. and Engel, S. and Eser, U. and Faith, D.P. and Filyushkina, A. and Ghazi, H. and GÃ³mez-Baggethun, E. and Gould, R.K. and Guibrunet, L. and Gundimeda, H. and Hahn, T. and HarmÃ¡ÄkovÃ¡, Z.V. and HernÃ¡ndez-Blanco, M. and Horcea-Milcu, A.-I. and Huambachano, M. and Wicher, N.L.H. and AydÄ±n, C.Ä°. and Islar, M. and Koessler, A.-K. and Kenter, J.O. and Kosmus, M. and Lee, H. and Leimona, B. and Lele, S. and Lenzi, D. and Lliso, B. and Mannetti, L.M. and MerÃ§on, J. and Monroy-Sais, A.S. and Mukherjee, N. and Muraca, B. and Muradian, R. and Murali, R. and Nelson, S.H. and NemogÃ¡-Soto, G.R. and Ngouhouo-Poufoun, J. and Niamir, A. and Nuesiri, E. and Nyumba, T.O. and Ã–zkaynak, B. and Palomo, I. and Pandit, R. and PawÅ‚owska-Mainville, A. and Porter-Bolland, L. and Quaas, M. and Rode, J. and Rozzi, R. and Sachdeva, S. and Samakov, A. and Schaafsma, M. and Sitas, N. and Ungar, P. and Yiu, E. and Yoshida, Y. and Zent, E.</t>
  </si>
  <si>
    <t>https://www.scopus.com/inward/record.uri?eid=2-s2.0-85167358387&amp;doi=10.1038%2fs41586-023-06406-9&amp;partnerID=40&amp;md5=051a41e5f8507bc472d1a8798015d52a</t>
  </si>
  <si>
    <t>&lt;p&gt;Export Date: 27 January 2025; Cited By: 216&lt;/p&gt; | RAYYAN-INCLUSION: {"Matthew"=&gt;"Excluded"}</t>
  </si>
  <si>
    <t>10.1038/s41586-023-06406-9</t>
  </si>
  <si>
    <t>aquaculture;Article;biodiversity;Biodiversity;climate change;community;Conservation of Natural Resources;decision making;documentation;ecosystem;Ecosystem;ecosystem service;empowerment;environmental policy;environmental protection;forest;human;Humans;indigenous people;intergovernmental relations;lagoon;local community;nature conservation;policy;Policy;quality of life;reliability;sustainability;sustainable development;Sustainable Development;sustainable development goal;Sustainable Development Goal;traditional knowledge;United Nations;valuation</t>
  </si>
  <si>
    <t>rayyan-153487405</t>
  </si>
  <si>
    <t>Contribution of systematic reviews to management decisions</t>
  </si>
  <si>
    <t>902-915</t>
  </si>
  <si>
    <t>Cook, C.N. and Possingham, H.P. and Fuller, R.A.</t>
  </si>
  <si>
    <t>https://www.scopus.com/inward/record.uri?eid=2-s2.0-84884719862&amp;doi=10.1111%2fcobi.12114&amp;partnerID=40&amp;md5=52d80aa94f255b0ea876ee077e617fa1</t>
  </si>
  <si>
    <t>&lt;p&gt;Export Date: 27 January 2025; Cited By: 78&lt;/p&gt; | RAYYAN-INCLUSION: {"Sarah"=&gt;"Excluded"}</t>
  </si>
  <si>
    <t>10.1111/cobi.12114</t>
  </si>
  <si>
    <t>brecha de implementaciÃ³n;conservaciÃ³n basada en evidencias;conservation management;Conservation management;Conservation of Natural Resources;conservation policy;Conservation policy;data set;decision making;Decision making;Decision Making;environmental evidence;Environmental evidence;environmental management;environmental planning;Environmental Policy;environmental protection;evidence-based conservation;Evidence-based conservation;evidencia ambiental;geography;Geography;implementation gap;Implementation gap;literature;manejo de conservaciÃ³n;methodology;polÃ­tica de conservaciÃ³n;research;review;Review Literature as Topic;taxonomy;toma de decisiones</t>
  </si>
  <si>
    <t>rayyan-153487411</t>
  </si>
  <si>
    <t>Evaluating socio-ecological interactions for the management of protected urban green spaces</t>
  </si>
  <si>
    <t>Zambrano, L. and Cano-Santana, Z. and Wegier, A. and Arroyo-Lambaer, D. and ZÃºÃ±iga-Vega, J.J. and SuÃ¡rez, A. and Bouchain, C.R. and Sill, F.G. and Campo, J. and Ortega-Larrocea, P. and Fonseca, A. and Ramos, A.G. and Coronel-Arellano, H. and Bonilla-RodrÃ­guez, M. and Castillo, A. and Negrete-GonzÃ¡lez, M. and RamÃ­rez-Cruz, G.A. and PÃ©rez-LÃ³pez, J. and CalderÃ³n, B.G.</t>
  </si>
  <si>
    <t>https://www.scopus.com/inward/record.uri?eid=2-s2.0-85073099512&amp;doi=10.3389%2ffenvs.2019.00144&amp;partnerID=40&amp;md5=8afeb428e9380e1f84e21ecdac33c55d</t>
  </si>
  <si>
    <t>&lt;p&gt;Export Date: 27 January 2025; Cited By: 9&lt;/p&gt; | RAYYAN-INCLUSION: {"Philip"=&gt;"Excluded", "Nibedita"=&gt;"Maybe"}</t>
  </si>
  <si>
    <t>10.3389/fenvs.2019.00144</t>
  </si>
  <si>
    <t>Cities;Community perception;Ecological Reserve of Pedregal de San Ãngel;Fuzzy cognitive map;Mexico City;Socio-ecological system;UNAM main campus;Urban conservation</t>
  </si>
  <si>
    <t>rayyan-153487413</t>
  </si>
  <si>
    <t>Effects of long-term ecological research and cognitive biases on the evaluation of scientific information by public land managers in Oregon and Washington, USA</t>
  </si>
  <si>
    <t>Rapp, C. and Nelson, M.P. and Bruskotter, J.T.</t>
  </si>
  <si>
    <t>https://www.scopus.com/inward/record.uri?eid=2-s2.0-85214900817&amp;doi=10.5751%2fES-15744-300101&amp;partnerID=40&amp;md5=7533468111f321655b4383b2604b8e54</t>
  </si>
  <si>
    <t>&lt;p&gt;Export Date: 27 January 2025; Cited By: 0&lt;/p&gt; | RAYYAN-INCLUSION: {"Nibedita"=&gt;"Included", "Isobel"=&gt;"Included"}</t>
  </si>
  <si>
    <t>10.5751/ES-15744-300101</t>
  </si>
  <si>
    <t>cognition;confirmation bias;evidence evaluation;evidence-based conservation;forest management;information management;natural resource agencies;nature conservation;Oregon;research;science-practice;United States;Washington [United States]</t>
  </si>
  <si>
    <t>rayyan-153487414</t>
  </si>
  <si>
    <t>Temporal Instability of Evidence Base: A Threat to Policy Making?</t>
  </si>
  <si>
    <t>895-902</t>
  </si>
  <si>
    <t>Koricheva, J. and Kulinskaya, E.</t>
  </si>
  <si>
    <t>https://www.scopus.com/inward/record.uri?eid=2-s2.0-85067002506&amp;doi=10.1016%2fj.tree.2019.05.006&amp;partnerID=40&amp;md5=8a85af5e9b67f8d2417c1431326bc000</t>
  </si>
  <si>
    <t>&lt;p&gt;Export Date: 27 January 2025; Cited By: 56&lt;/p&gt; | RAYYAN-INCLUSION: {"Philip"=&gt;"Excluded"}</t>
  </si>
  <si>
    <t>10.1016/j.tree.2019.05.006</t>
  </si>
  <si>
    <t>conservation management;decision making;Decision Making;decline effect;environmental management;evidence-based conservation;literature review;management;meta-analysis;policy making;Policy Making;population decline;publication bias;temporal variation</t>
  </si>
  <si>
    <t>rayyan-153487415</t>
  </si>
  <si>
    <t>Knowledge co-production and boundary work to promote implementation of conservation plans</t>
  </si>
  <si>
    <t>176-188</t>
  </si>
  <si>
    <t>Nel, J.L. and Roux, D.J. and Driver, A. and Hill, L. and Maherry, A.C. and Snaddon, K. and Petersen, C.R. and Smith-Adao, L.B. and Van Deventer, H. and Reyers, B.</t>
  </si>
  <si>
    <t>https://www.scopus.com/inward/record.uri?eid=2-s2.0-84954403543&amp;doi=10.1111%2fcobi.12560&amp;partnerID=40&amp;md5=6a74f3260852d48b44430c9685e81c18</t>
  </si>
  <si>
    <t>&lt;p&gt;Export Date: 27 January 2025; Cited By: 162&lt;/p&gt; | RAYYAN-INCLUSION: {"Prishnee"=&gt;"Excluded"}</t>
  </si>
  <si>
    <t>10.1111/cobi.12560</t>
  </si>
  <si>
    <t>biodiversity;Biodiversity;Bridging organization;Conservation of Natural Resources;conservation planning;decision making;Decision Making;environmental protection;FEPA;freshwater;Freshwater conservation planning;Integrated water resource management;knowledge based system;Knowledge exchange;organization and management;participatory approach;Participatory mapping;Planning Techniques;policy implementation;procedures;South Africa;spatial data;stakeholder;water management;wetland;Wetlands</t>
  </si>
  <si>
    <t>rayyan-153487438</t>
  </si>
  <si>
    <t>Generating actionable data for evidence-based conservation: The global center of marine biodiversity as a case study</t>
  </si>
  <si>
    <t>299-309</t>
  </si>
  <si>
    <t>Fox, H.E. and Barnes, M.D. and Ahmadia, G.N. and Kao, G. and Glew, L. and Haisfield, K. and Hidayat, N.I. and Huffard, C.L. and Katz, L. and Mangubhai, S.</t>
  </si>
  <si>
    <t>https://www.scopus.com/inward/record.uri?eid=2-s2.0-85018318880&amp;doi=10.1016%2fj.biocon.2017.04.025&amp;partnerID=40&amp;md5=78bd54b473875e04f90168fa41b209f9</t>
  </si>
  <si>
    <t>&lt;p&gt;Export Date: 27 January 2025; Cited By: 11&lt;/p&gt; | RAYYAN-INCLUSION: {"Alec"=&gt;"Excluded"}</t>
  </si>
  <si>
    <t>10.1016/j.biocon.2017.04.025</t>
  </si>
  <si>
    <t>biodiversity;Capacity building;conservation planning;developing world;environmental monitoring;experimental design;Indonesia;marine park;Marine protected areas;Monitoring and evaluation;West Papua</t>
  </si>
  <si>
    <t>rayyan-153487439</t>
  </si>
  <si>
    <t>Density-impact functions for terrestrial vertebrate pests and indigenous biota: Guidelines for conservation managers</t>
  </si>
  <si>
    <t>409-420</t>
  </si>
  <si>
    <t>Norbury, G.L. and Pech, R.P. and Byrom, A.E. and Innes, J.</t>
  </si>
  <si>
    <t>https://www.scopus.com/inward/record.uri?eid=2-s2.0-84938920024&amp;doi=10.1016%2fj.biocon.2015.07.031&amp;partnerID=40&amp;md5=644ae434afc853d5068a52afda8bc643</t>
  </si>
  <si>
    <t>&lt;p&gt;Export Date: 27 January 2025; Cited By: 65&lt;/p&gt; | RAYYAN-INCLUSION: {"Aidan"=&gt;"Excluded"}</t>
  </si>
  <si>
    <t>10.1016/j.biocon.2015.07.031</t>
  </si>
  <si>
    <t>biota;conservation management;Damage function;decision making;Density-impact;guideline;Indigenous biota;Introduced mammal;introduced species;mammal;Mammalia;native species;pest control;pest damage;Pest impact;pest species;population density;removal experiment;stakeholder;terrestrial ecosystem;trophic interaction;Vertebrata</t>
  </si>
  <si>
    <t>rayyan-153487440</t>
  </si>
  <si>
    <t>Bridging the Science-Policy Gap â€“ Toward Better Integration of Decision Support Tools in Coastal and Marine Policy Implementation</t>
  </si>
  <si>
    <t>Schumacher, J. and Bergqvist, L. and van Beest, F.M. and Carstensen, J. and Gustafsson, B. and Hasler, B. and Fleming, V. and NygÃ¥rd, H. and Pakalniete, K. and Sokolov, A. and Zandersen, M. and Schernewski, G.</t>
  </si>
  <si>
    <t>https://www.scopus.com/inward/record.uri?eid=2-s2.0-85094806494&amp;doi=10.3389%2ffmars.2020.587500&amp;partnerID=40&amp;md5=5bffa6cd2596a961c179bcca64957712</t>
  </si>
  <si>
    <t>10.3389/fmars.2020.587500</t>
  </si>
  <si>
    <t>Baltic;decision-making;end-user needs;environmental science and policy;science and policy interface;tools and approaches</t>
  </si>
  <si>
    <t>rayyan-153487445</t>
  </si>
  <si>
    <t>The impact of scientific information on ecosystem management: Making sense of the contextual gap between information providers and decision makers</t>
  </si>
  <si>
    <t>779-791</t>
  </si>
  <si>
    <t>Van Wyk, E. and Roux, D.J. and Drackner, M. and McCool, S.F.</t>
  </si>
  <si>
    <t>https://www.scopus.com/inward/record.uri?eid=2-s2.0-42449110670&amp;doi=10.1007%2fs00267-008-9084-8&amp;partnerID=40&amp;md5=89039cfc3b1c8335c3eda84e05e02470</t>
  </si>
  <si>
    <t>&lt;p&gt;Export Date: 27 January 2025; Cited By: 34&lt;/p&gt; | RAYYAN-INCLUSION: {"Elina"=&gt;"Included", "Iris"=&gt;"Included"}</t>
  </si>
  <si>
    <t>10.1007/s00267-008-9084-8</t>
  </si>
  <si>
    <t>Africa;article;Comprehension;Conservation of Natural Resources;cultural anthropology;Cultural diversity;Cultural Diversity;Culture;decision making;Decision making;Decision Making;Ecosystem;ecosystem management;Ecosystem management;Ecosystems;environmental management;Environmental management;Humans;Information Management;Information use;Knowledge;learning;Learning;natural resource;Natural resources;participatory approach;perception;public attitude;resource management;Science;Scientific information;Shared understanding;South Africa;Southern Africa;Sub-Saharan Africa;traditional knowledge</t>
  </si>
  <si>
    <t>rayyan-153487447</t>
  </si>
  <si>
    <t>What is the best available science? A comparison of marine scientists, managers, and interest groups in the United States</t>
  </si>
  <si>
    <t>95-102</t>
  </si>
  <si>
    <t>Wolters, E.A. and Steel, B.S. and Lach, D. and Kloepfer, D.</t>
  </si>
  <si>
    <t>https://www.scopus.com/inward/record.uri?eid=2-s2.0-84961346547&amp;doi=10.1016%2fj.ocecoaman.2016.01.011&amp;partnerID=40&amp;md5=085c629632a764e28e574d95e3adfa0c</t>
  </si>
  <si>
    <t>&lt;p&gt;Export Date: 27 January 2025; Cited By: 18&lt;/p&gt; | RAYYAN-INCLUSION: {"Alice"=&gt;"Excluded"}</t>
  </si>
  <si>
    <t>10.1016/j.ocecoaman.2016.01.011</t>
  </si>
  <si>
    <t>comparative study;Credible science;decision making;Decision making;Environmental management;environmental policy;Environmental policy;Environmental protection;literature review;Managers;marine policy;Marine policy;Marine scientists;natural resource;perception;Policy actors;policy analysis;questionnaire survey;research work;resource management;Resource managers;science and technology;Scientific information;Scientific literacy;Scientific researches;United States</t>
  </si>
  <si>
    <t>rayyan-153487459</t>
  </si>
  <si>
    <t>The Conservation Costs of Game Ranching</t>
  </si>
  <si>
    <t>402-412</t>
  </si>
  <si>
    <t>Pitman, R.T. and Fattebert, J. and Williams, S.T. and Williams, K.S. and Hill, R.A. and Hunter, L.T.B. and Slotow, R. and Balme, G.A.</t>
  </si>
  <si>
    <t>https://www.scopus.com/inward/record.uri?eid=2-s2.0-84979497811&amp;doi=10.1111%2fconl.12276&amp;partnerID=40&amp;md5=3bdab48722f8c61939b17559ed67b9e5</t>
  </si>
  <si>
    <t>&lt;p&gt;Export Date: 27 January 2025; Cited By: 30&lt;/p&gt; | RAYYAN-INCLUSION: {"Philip"=&gt;"Excluded"}</t>
  </si>
  <si>
    <t>10.1111/conl.12276</t>
  </si>
  <si>
    <t>Decentralization;devolution;humanâ€“wildlife conflict;land-use planning;natural resource management;persecution;problem animal control;tolerance</t>
  </si>
  <si>
    <t>rayyan-153487470</t>
  </si>
  <si>
    <t>Evaluating participatory research: Framework, methods and implementation results</t>
  </si>
  <si>
    <t>311-319</t>
  </si>
  <si>
    <t>Smajgl, A. and Ward, J.</t>
  </si>
  <si>
    <t>https://www.scopus.com/inward/record.uri?eid=2-s2.0-84928739291&amp;doi=10.1016%2fj.jenvman.2015.04.014&amp;partnerID=40&amp;md5=53211721f1321ea82187509f096b89df</t>
  </si>
  <si>
    <t>&lt;p&gt;Export Date: 27 January 2025; Cited By: 55&lt;/p&gt; | RAYYAN-INCLUSION: {"Philip"=&gt;"Excluded"}</t>
  </si>
  <si>
    <t>10.1016/j.jenvman.2015.04.014</t>
  </si>
  <si>
    <t>Article;Asia, Southeastern;Conservation of Natural Resources;decision making;detection method;energy;environmental management;environmental protection;environmental research;Evaluation;food;guideline;human;Humans;integrated approach;learning;methodology;Models, Theoretical;Monitoring;natural resource;participatory approach;participatory research;Participatory research;policy implementation;program development;Program Development;program evaluation;Program Evaluation;public-private partnership;Public-Private Sector Partnerships;research;Research;resource management;Southeast Asia;theoretical model;water;Water, food and energy nexus</t>
  </si>
  <si>
    <t>rayyan-153487476</t>
  </si>
  <si>
    <t>Science and environmental policy establishment: the case of the Forest Act in the State of SÃ£o Paulo, Brazil</t>
  </si>
  <si>
    <t>Biota Neotropica</t>
  </si>
  <si>
    <t>de Mello, K. and Brites, A. and Borges-Matos, C. and Tavares, P.A. and Metzger, J.P. and Rodrigues, R.R. and Dos Santos, Z.L. and Joly, C.A. and Sparovek, G.</t>
  </si>
  <si>
    <t>https://www.scopus.com/inward/record.uri?eid=2-s2.0-85136265438&amp;doi=10.1590%2f1676-0611-BN-2022-1373&amp;partnerID=40&amp;md5=ff56e5dfc9224fb5123ebc23a427e458</t>
  </si>
  <si>
    <t>&lt;p&gt;Export Date: 27 January 2025; Cited By: 1&lt;/p&gt; | RAYYAN-INCLUSION: {"Iris"=&gt;"Excluded"}</t>
  </si>
  <si>
    <t>10.1590/1676-0611-BN-2022-1373</t>
  </si>
  <si>
    <t>Forest Code;forest conservation;forest restoration;participatory method;policy design;scientific evidence</t>
  </si>
  <si>
    <t>rayyan-153487485</t>
  </si>
  <si>
    <t>Modelling Tools and Plausible Scenarios in Science-Policy to Improve Evidence-Based Decision-Making for Human Well-Being</t>
  </si>
  <si>
    <t>Ecosystem and Species Habitat Modeling for Conservation and Restoration</t>
  </si>
  <si>
    <t>Dhyani, S. and Sood, R.</t>
  </si>
  <si>
    <t>https://www.scopus.com/inward/record.uri?eid=2-s2.0-85171492249&amp;doi=10.1007%2f978-981-99-0131-9_1&amp;partnerID=40&amp;md5=5ebc8048a5073fc9e15943feb4e486c1</t>
  </si>
  <si>
    <t>Conservation;Ecosystem;Habitat suitability;Management;Modelling;Restoration;Science-policy;Species</t>
  </si>
  <si>
    <t>rayyan-153487509</t>
  </si>
  <si>
    <t>Towards linking environmental law and science</t>
  </si>
  <si>
    <t>375-391</t>
  </si>
  <si>
    <t>Moore, J.W. and Nowlan, L. and Olszynski, M. and Jacob, A.L. and Favaro, B. and Collins, L. and Terri-Lynn Williams-Davidson, G.L. and Weitz, J.</t>
  </si>
  <si>
    <t>https://www.scopus.com/inward/record.uri?eid=2-s2.0-85061174998&amp;doi=10.1139%2ffacets-2017-0106&amp;partnerID=40&amp;md5=7a5fc01a5097e310ac6a1f156e6113e8</t>
  </si>
  <si>
    <t>&lt;p&gt;Export Date: 27 January 2025; Cited By: 19&lt;/p&gt; | RAYYAN-INCLUSION: {"Philip"=&gt;"Excluded"}</t>
  </si>
  <si>
    <t>10.1139/facets-2017-0106</t>
  </si>
  <si>
    <t>Co-production;Conservation;Cross-disciplinary;Environmental assessment;Environmental law;Impact assessment;Indigenous law;Policy windows;Science communication;Science policy</t>
  </si>
  <si>
    <t>rayyan-153487515</t>
  </si>
  <si>
    <t>The User, not the Tool: Perceptions of Credibility and Relevance Affect the Uptake of Prioritisation</t>
  </si>
  <si>
    <t>836-846</t>
  </si>
  <si>
    <t>Kiatkoski Kim, M. and Evans, L. and Scherl, L.M. and Marsh, H.</t>
  </si>
  <si>
    <t>https://www.scopus.com/inward/record.uri?eid=2-s2.0-84960333742&amp;doi=10.1007%2fs00267-015-0653-3&amp;partnerID=40&amp;md5=d8c1fb3d562ff561c7d33a0e81b58090</t>
  </si>
  <si>
    <t>&lt;p&gt;Export Date: 27 January 2025; Cited By: 9&lt;/p&gt; | RAYYAN-INCLUSION: {"Alec"=&gt;"Included"}</t>
  </si>
  <si>
    <t>10.1007/s00267-015-0653-3</t>
  </si>
  <si>
    <t>Australia;Conservation;Conservation of Natural Resources;conservation planning;Conservation planning;conservation status;Credibility;decision making;Decision making;Economic and social effects;endangered species;Endangered Species;environmental policy;Environmental Policy;environmental protection;human;perception;planning process;Prioritisation;prioritization;procedures;Queensland;Relevance;scientific literature;species conservation;trends;Uptake;Users</t>
  </si>
  <si>
    <t>rayyan-153487521</t>
  </si>
  <si>
    <t>Decision Support Frameworks and Tools for Conservation</t>
  </si>
  <si>
    <t>Schwartz, M.W. and Cook, C.N. and Pressey, R.L. and Pullin, A.S. and Runge, M.C. and Salafsky, N. and Sutherland, W.J. and Williamson, M.A.</t>
  </si>
  <si>
    <t>https://www.scopus.com/inward/record.uri?eid=2-s2.0-85021201710&amp;doi=10.1111%2fconl.12385&amp;partnerID=40&amp;md5=389d489d7f3374037b961c9c8c4d8263</t>
  </si>
  <si>
    <t>&lt;p&gt;Export Date: 27 January 2025; Cited By: 170&lt;/p&gt; | RAYYAN-INCLUSION: {"Tabitha"=&gt;"Excluded"}</t>
  </si>
  <si>
    <t>10.1111/conl.12385</t>
  </si>
  <si>
    <t>Adaptive management;decision analysis;evidence based;futures research;planning;project management;structured decision making;systematic conservation planning</t>
  </si>
  <si>
    <t>rayyan-153487527</t>
  </si>
  <si>
    <t>Evidence-Based Guidelines for Prioritizing Investments to Meet International Conservation Objectives</t>
  </si>
  <si>
    <t>One Earth</t>
  </si>
  <si>
    <t>55-63</t>
  </si>
  <si>
    <t>Kuempel, C.D. and Chauvenet, A.L.M. and Possingham, H.P. and Adams, V.M.</t>
  </si>
  <si>
    <t>https://www.scopus.com/inward/record.uri?eid=2-s2.0-85096191186&amp;doi=10.1016%2fj.oneear.2019.12.013&amp;partnerID=40&amp;md5=a4911ea79ba63651e4f5cb5d714fb537</t>
  </si>
  <si>
    <t>&lt;p&gt;Export Date: 27 January 2025; Cited By: 16&lt;/p&gt; | RAYYAN-INCLUSION: {"Philip"=&gt;"Excluded", "Tabitha"=&gt;"Excluded", "Prishnee"=&gt;"Excluded", "Valentin"=&gt;"Excluded", "fereshteh"=&gt;"Included", "Aidan"=&gt;"Excluded", "Iris"=&gt;"Excluded", "Nibedita"=&gt;"Excluded", "Isobel"=&gt;"Excluded"}</t>
  </si>
  <si>
    <t>10.1016/j.oneear.2019.12.013</t>
  </si>
  <si>
    <t>Aichi Target 11;biodiversity;budget allocation models;conservation action;conservation management;Convention on Biological Diversity;cost-effective;decision making;habitat loss;investment;management effectiveness;population decline;post-2020 targets;protected area;representation</t>
  </si>
  <si>
    <t>rayyan-153487532</t>
  </si>
  <si>
    <t>The agricultural biodiversity policy development process: Exploring means of policy development to support the on-farm management of crop genetic diversity</t>
  </si>
  <si>
    <t>International Journal of Biodiversity Science and Management</t>
  </si>
  <si>
    <t>Bragdon, S. and Jarvis, D.I. and Gaucham, D. and Mar, I. and Hue, N.N. and Balma, D. and Collado, L. and Latournerie, L. and Sthapit, B.R. and Sadiki, M. and Fadda, C. and Ndungu-Skilton, J.</t>
  </si>
  <si>
    <t>https://www.scopus.com/inward/record.uri?eid=2-s2.0-78649732792&amp;doi=10.1080%2f17451590902789971&amp;partnerID=40&amp;md5=aa78dfbda933b0d60e4c104df1431958</t>
  </si>
  <si>
    <t>10.1080/17451590902789971</t>
  </si>
  <si>
    <t>biodiversity;Biodiversity;bottom-up approach;Burkina Faso;Conservation;decision making;environmental legislation;Farming;Federal District [Mexico];genetic resource;Genetic resources;genetic variation;habitat conservation;Hungary;international law;Mexico [North America];Mexico City;Morocco;participatory approach;Peru;Viet Nam</t>
  </si>
  <si>
    <t>rayyan-153487541</t>
  </si>
  <si>
    <t>Current practice in biodiversity impact assessment and prospects for developing an integrated process</t>
  </si>
  <si>
    <t>Impact Assessment and Project Appraisal</t>
  </si>
  <si>
    <t>31-42</t>
  </si>
  <si>
    <t>GonzÃ¡lez, A. and Keneghan, D. and Fry, J. and Hochstrasser, T.</t>
  </si>
  <si>
    <t>https://www.scopus.com/inward/record.uri?eid=2-s2.0-84894237744&amp;doi=10.1080%2f14615517.2013.850839&amp;partnerID=40&amp;md5=1d0c470ef2535249502394a244bc648c</t>
  </si>
  <si>
    <t>&lt;p&gt;Export Date: 27 January 2025; Cited By: 5&lt;/p&gt; | RAYYAN-INCLUSION: {"Philip"=&gt;"Included"}</t>
  </si>
  <si>
    <t>10.1080/14615517.2013.850839</t>
  </si>
  <si>
    <t>appropriate assessment;biodiversity;biodiversity data;biodiversity impact assessment;comparative study;decision making;environmental impact assessment;European Union;impact assessment;integration;international agreement;international perspectives;Ireland;planning system</t>
  </si>
  <si>
    <t>rayyan-153487561</t>
  </si>
  <si>
    <t>Institutionalising science and knowledge under the agreement for the conservation and sustainable use of marine biodiversity of areas beyond national jurisdiction (BBNJ): Stakeholder perspectives on a fit-for-purpose Scientific and Technical Body</t>
  </si>
  <si>
    <t>Gaebel, C. and Novo, P. and Johnson, D.E. and Roberts, J.M.</t>
  </si>
  <si>
    <t>https://www.scopus.com/inward/record.uri?eid=2-s2.0-85181932637&amp;doi=10.1016%2fj.marpol.2023.105998&amp;partnerID=40&amp;md5=7be40cf46a646bd12017157ec4ffc12a</t>
  </si>
  <si>
    <t>&lt;p&gt;Export Date: 27 January 2025; Cited By: 2&lt;/p&gt; | RAYYAN-INCLUSION: {"Philip"=&gt;"Included", "Aidan"=&gt;"Maybe"}</t>
  </si>
  <si>
    <t>10.1016/j.marpol.2023.105998</t>
  </si>
  <si>
    <t>biodiversity;Biodiversity governance;conservation management;Good governance;governance approach;knowledge;marine environment;Marine governance;Science bodies;Science-policy interface;Scientific advice;Scientific and Technical Body;stakeholder</t>
  </si>
  <si>
    <t>rayyan-153487581</t>
  </si>
  <si>
    <t>Modeling protected species habitat and assigning risk to inform regulatory decisions</t>
  </si>
  <si>
    <t>Montgomery, R.A. and Rubeck-Schurtz, C.N. and Millenbah, K.F. and Roloff, G.J. and Whalon, M.E. and Olsen, L.G.</t>
  </si>
  <si>
    <t>https://www.scopus.com/inward/record.uri?eid=2-s2.0-67651174320&amp;doi=10.1007%2fs00267-009-9289-5&amp;partnerID=40&amp;md5=3b1e86a47585989d479af977ddee6fba</t>
  </si>
  <si>
    <t>&lt;p&gt;Export Date: 27 January 2025; Cited By: 4&lt;/p&gt; | RAYYAN-INCLUSION: {"Alice"=&gt;"Excluded"}</t>
  </si>
  <si>
    <t>10.1007/s00267-009-9289-5</t>
  </si>
  <si>
    <t>Agriculture;Animals;article;Butterflies;butterfly;Conservation;Conservation of Natural Resources;Crops, Agricultural;decision making;Decision making;ecological modeling;Ecology;Ecosystem;endangered species;Endangered species;environmental management;Environmental Monitoring;environmental protection;Geography;Government Regulation;habitat;habitat conservation;Habitat suitability;Hexapoda;Lycaeides melissa samuelis;Michigan;model;Modeling;Models, Biological;nonhuman;North America;Ocean habitats;orchard;orchard management;Orchards;pesticide;Pesticide effects;Pesticides;population abundance;protected area;Prunus;risk assessment;Risk assessment;Risk Assessment;risk factor;Risk Factors;Risk management;species differentiation;species distribution;species diversity;species occurrence;United States</t>
  </si>
  <si>
    <t>rayyan-153487586</t>
  </si>
  <si>
    <t>Incorporating experiments into management to facilitate rapid learning about climate change adaptation</t>
  </si>
  <si>
    <t>Nadeau, C.P. and Hughes, A.R. and Schneider, E.G. and Colarusso, P. and Fisichelli, N.A. and Miller-Rushing, A.J.</t>
  </si>
  <si>
    <t>https://www.scopus.com/inward/record.uri?eid=2-s2.0-85178644710&amp;doi=10.1016%2fj.biocon.2023.110374&amp;partnerID=40&amp;md5=4d41e18754fa63287790930de349890c</t>
  </si>
  <si>
    <t>10.1016/j.biocon.2023.110374</t>
  </si>
  <si>
    <t>adaptive management;Adaptive management;angiosperm;Assisted gene flow;climate change;conservation planning;Eelgrass;experimental study;gene flow;learning;management practice;research work;Science-practice gap;seagrass;stakeholder;Three-toothed cinquefoil;Translational research</t>
  </si>
  <si>
    <t>rayyan-153487630</t>
  </si>
  <si>
    <t>A framework for improving the cross-jurisdictional governance of a marine migratory species</t>
  </si>
  <si>
    <t>Miller, R.L. and Marsh, H. and Benham, C. and Hamann, M.</t>
  </si>
  <si>
    <t>https://www.scopus.com/inward/record.uri?eid=2-s2.0-85115736571&amp;doi=10.1111%2fcsp2.58&amp;partnerID=40&amp;md5=655b14eb8b8456d0f36260c629070631</t>
  </si>
  <si>
    <t>10.1111/csp2.58</t>
  </si>
  <si>
    <t>collaborative governance;cross-jurisdictional governance;marine migratory species;threatened species management</t>
  </si>
  <si>
    <t>rayyan-153487634</t>
  </si>
  <si>
    <t>Synthesizing plausible futures for biodiversity and ecosystem services in europe and central asia using scenario archetypes</t>
  </si>
  <si>
    <t>Harrison, P.A. and HarmÃ¡ÄkovÃ¡, Z.V. and Karabulut, A.A. and Brotons, L. and Cantele, M. and Claudet, J. and Dunford, R.W. and Guisan, A. and Holman, I.P. and Jacobs, S. and Kok, K. and Lobanova, A. and MorÃ¡n-OrdÃ³Ã±ez, A. and Pedde, S. and Rixen, C. and Santos-MartÃ­n, F. and Schlaepfer, M.A. and Solidoro, C. and Sonrel, A. and Hauck, J.</t>
  </si>
  <si>
    <t>https://www.scopus.com/inward/record.uri?eid=2-s2.0-85070921058&amp;doi=10.5751%2fES-10818-240227&amp;partnerID=40&amp;md5=6b59652aa6d1e580f3f595555897f558</t>
  </si>
  <si>
    <t>&lt;p&gt;Export Date: 27 January 2025; Cited By: 27&lt;/p&gt; | RAYYAN-INCLUSION: {"Elina"=&gt;"Excluded"}</t>
  </si>
  <si>
    <t>10.5751/ES-10818-240227</t>
  </si>
  <si>
    <t>biodiversity;Biodiversity;Central Asia;Drivers;ecosystem service;Ecosystem services;environmental assessment;environmental policy;Europe;Exploratory scenarios;future prospect;Impacts;IPBES;Models;Nature;nature conservation;Natureâ€™s contributions to people (NCP);scenario analysis;spatiotemporal analysis;sustainable development</t>
  </si>
  <si>
    <t>rayyan-153487637</t>
  </si>
  <si>
    <t>What Are We Conserving? Establishing Multiscale Conservation Goals and Objectives in the Face of Global Threats</t>
  </si>
  <si>
    <t>Managing and Designing Landscapes for Conservation: Moving from Perspectives to Principles</t>
  </si>
  <si>
    <t>494-510</t>
  </si>
  <si>
    <t>Scott, J.M. and Tear, T.H.</t>
  </si>
  <si>
    <t>https://www.scopus.com/inward/record.uri?eid=2-s2.0-84889306196&amp;doi=10.1002%2f9780470692400.ch42&amp;partnerID=40&amp;md5=1d0e708e65939d76bd472ef01b80b294</t>
  </si>
  <si>
    <t>Conservation assessments;Conservation goals;Conservation movement;Global threats;Scales</t>
  </si>
  <si>
    <t>rayyan-153487639</t>
  </si>
  <si>
    <t>Science advice for international governance â€“ An evidence-based perspective on the role of SCAR in the Antarctic Treaty System</t>
  </si>
  <si>
    <t>Chown, S.L. and Bastmeijer, K. and Brooks, C.M. and Gilbert, N. and Phillips, L.M. and Shibata, A.</t>
  </si>
  <si>
    <t>https://www.scopus.com/inward/record.uri?eid=2-s2.0-85190580150&amp;doi=10.1016%2fj.marpol.2024.106143&amp;partnerID=40&amp;md5=80b2f7d308075a5bfb518768ddd338f9</t>
  </si>
  <si>
    <t>10.1016/j.marpol.2024.106143</t>
  </si>
  <si>
    <t>Antarctica;decision making;Decision-making;governance approach;knowledge based system;marine environment;marine policy;Reliable knowledge;Science-policy interface;Southern Ocean</t>
  </si>
  <si>
    <t>rayyan-153487642</t>
  </si>
  <si>
    <t>Incorporating social-ecological complexities into conservation policy</t>
  </si>
  <si>
    <t>Brehony, P. and Tyrrell, P. and Kamanga, J. and Waruingi, L. and Kaelo, D.</t>
  </si>
  <si>
    <t>https://www.scopus.com/inward/record.uri?eid=2-s2.0-85088116459&amp;doi=10.1016%2fj.biocon.2020.108697&amp;partnerID=40&amp;md5=6a2a99ae99f4d5e9c1d8b92b52f53463</t>
  </si>
  <si>
    <t>&lt;p&gt;Export Date: 27 January 2025; Cited By: 12&lt;/p&gt; | RAYYAN-INCLUSION: {"Philip"=&gt;"Excluded", "Nibedita"=&gt;"Maybe"}</t>
  </si>
  <si>
    <t>10.1016/j.biocon.2020.108697</t>
  </si>
  <si>
    <t>Africa;complexity;conservation planning;Consumptive use;decision making;ecological approach;Game ranching;Kenya;market development;natural resource;policy implementation;policy making;Social-Ecological Systems Framework;Sustainability;Wildlife</t>
  </si>
  <si>
    <t>rayyan-153487651</t>
  </si>
  <si>
    <t>ROLE OF SCIENTIFIC INFORMATION IN THE RESTORATION AND PROTECTION OF POLLUTED ESTUARIES.</t>
  </si>
  <si>
    <t>Oceans Conference Record (IEEE)</t>
  </si>
  <si>
    <t>895-900</t>
  </si>
  <si>
    <t>Robadue Jr., Donald D.</t>
  </si>
  <si>
    <t>https://www.scopus.com/inward/record.uri?eid=2-s2.0-0022334834&amp;doi=10.1109%2foceans.1985.1160185&amp;partnerID=40&amp;md5=fb710a2e5b762af69b7032ccd7df95bb</t>
  </si>
  <si>
    <t>&lt;p&gt;Export Date: 27 January 2025; Cited By: 0&lt;/p&gt; | RAYYAN-INCLUSION: {"Philip"=&gt;"Excluded", "Aidan"=&gt;"Excluded"}</t>
  </si>
  <si>
    <t>10.1109/oceans.1985.1160185</t>
  </si>
  <si>
    <t>Environmental protection;NARRAGANSETT BAY;RIVERS - Estuaries;SCIENTIFIC INFORMATION;Technology;Water pollution</t>
  </si>
  <si>
    <t>rayyan-153487658</t>
  </si>
  <si>
    <t>Honest advocacy for nature: presenting a persuasive narrative for conservation</t>
  </si>
  <si>
    <t>1703-1723</t>
  </si>
  <si>
    <t>Rose, D.C. and Brotherton, P.N.M. and Owens, S. and Pryke, T.</t>
  </si>
  <si>
    <t>https://www.scopus.com/inward/record.uri?eid=2-s2.0-84976517227&amp;doi=10.1007%2fs10531-016-1163-1&amp;partnerID=40&amp;md5=934c1cd16129b67eca2e190f905102e5</t>
  </si>
  <si>
    <t>&lt;p&gt;Export Date: 27 January 2025; Cited By: 31&lt;/p&gt; | RAYYAN-INCLUSION: {"Alice"=&gt;"Included"}</t>
  </si>
  <si>
    <t>10.1007/s10531-016-1163-1</t>
  </si>
  <si>
    <t>conservation status;decision making;England;environmental policy;Evidence-based policy;Evidence-informed policy;Framing;government;nature conservation;policy making;Science communication;Science-policy interface;United Kingdom</t>
  </si>
  <si>
    <t>rayyan-153487667</t>
  </si>
  <si>
    <t>Poor alignment of priorities between scientists and policymakers highlights the need for evidence-informed conservation in Brazil</t>
  </si>
  <si>
    <t>Perspectives in Ecology and Conservation</t>
  </si>
  <si>
    <t>125-132</t>
  </si>
  <si>
    <t>Karam-Gemael, M. and Loyola, R. and Penha, J. and Izzo, T.</t>
  </si>
  <si>
    <t>https://www.scopus.com/inward/record.uri?eid=2-s2.0-85048940419&amp;doi=10.1016%2fj.pecon.2018.06.002&amp;partnerID=40&amp;md5=f56ff731853c8b85a1c407a51b27f8bb</t>
  </si>
  <si>
    <t>&lt;p&gt;Export Date: 27 January 2025; Cited By: 27&lt;/p&gt; | RAYYAN-INCLUSION: {"Alec"=&gt;"Included"}</t>
  </si>
  <si>
    <t>10.1016/j.pecon.2018.06.002</t>
  </si>
  <si>
    <t>Conservation policy;Decision making;Environmental management;Evidence-based conservation;Science communication</t>
  </si>
  <si>
    <t>rayyan-153487685</t>
  </si>
  <si>
    <t>Connecting research and practice to enhance the evolutionary potential of species under climate change</t>
  </si>
  <si>
    <t>Thompson, L.M. and Thurman, L.L. and Cook, C.N. and Beever, E.A. and SgrÃ², C.M. and Battles, A. and Botero, C.A. and Gross, J.E. and Hall, K.R. and Hendry, A.P. and Hoffmann, A.A. and Hoving, C. and LeDee, O.E. and Mengelt, C. and Nicotra, A.B. and Niver, R.A. and PÃ©rez-Jvostov, F. and QuiÃ±ones, R.M. and Schuurman, G.W. and Schwartz, M.K. and Szymanski, J. and Whiteley, A.</t>
  </si>
  <si>
    <t>https://www.scopus.com/inward/record.uri?eid=2-s2.0-85145479355&amp;doi=10.1111%2fcsp2.12855&amp;partnerID=40&amp;md5=1eafddd4da9767c07bca34700be892c9</t>
  </si>
  <si>
    <t>&lt;p&gt;Export Date: 27 January 2025; Cited By: 17&lt;/p&gt; | RAYYAN-INCLUSION: {"Alec"=&gt;"Excluded"}</t>
  </si>
  <si>
    <t>10.1111/csp2.12855</t>
  </si>
  <si>
    <t>climate change;evolutionary adaptive capacity;genomics;knowledge exchange;natural resource management;policy;practitioner;researcher;threatened species</t>
  </si>
  <si>
    <t>rayyan-153487686</t>
  </si>
  <si>
    <t>Limited uptake of protected area evaluation systems among managers and decision-makers in Spain and the Mediterranean Sea</t>
  </si>
  <si>
    <t>237-245</t>
  </si>
  <si>
    <t>RodrÃ­guez-RodrÃ­guez, D. and MartÃ­nez-Vega, J. and Tempesta, M. and Otero-Villanueva, M.M.</t>
  </si>
  <si>
    <t>https://www.scopus.com/inward/record.uri?eid=2-s2.0-84938416970&amp;doi=10.1017%2fS0376892915000065&amp;partnerID=40&amp;md5=e98816d94830406518bc83938d7f8755</t>
  </si>
  <si>
    <t>&lt;p&gt;Export Date: 27 January 2025; Cited By: 13&lt;/p&gt; | RAYYAN-INCLUSION: {"Philip"=&gt;"Included", "Prishnee"=&gt;"Included"}</t>
  </si>
  <si>
    <t>10.1017/S0376892915000065</t>
  </si>
  <si>
    <t>Biodiversity;Conservation;Decision makers;decision making;Decision making;decision-maker;environmental management;Environmental protection;evaluation system;Information management;integrated approach;manager;Managers;Mediterranean sea;Mediterranean Sea;ocean basin;protected area;Protected areas;resource availability;Spain;Surveys;sustainable development</t>
  </si>
  <si>
    <t>rayyan-153487691</t>
  </si>
  <si>
    <t>Integrating collaboration, adaptive management, and scenario-planning: Experiences at Las Cienegas National conservation area</t>
  </si>
  <si>
    <t>Caves, J.K. and Bodner, G.S. and Simms, K. and Fisher, L.A. and Robertson, T.</t>
  </si>
  <si>
    <t>https://www.scopus.com/inward/record.uri?eid=2-s2.0-84884935173&amp;doi=10.5751%2fES-05749-180343&amp;partnerID=40&amp;md5=7092e22a1fe1f488b03d98e8149d5a49</t>
  </si>
  <si>
    <t>&lt;p&gt;Export Date: 27 January 2025; Cited By: 37&lt;/p&gt; | RAYYAN-INCLUSION: {"Alec"=&gt;"Excluded"}</t>
  </si>
  <si>
    <t>10.5751/ES-05749-180343</t>
  </si>
  <si>
    <t>adaptive management;Biological planning;Bureau of land management;Climate adaptation;Collaboration;complexity;decision making;Desert southwest;Ecological monitoring;Implementing adaptive management;land management;Nested objectives;protected area;Public lands management;Scenario planning;stakeholder</t>
  </si>
  <si>
    <t>rayyan-153487747</t>
  </si>
  <si>
    <t>From ignorance to evidence? The use of programme evaluation in conservation: Evidence from a Delphi survey of conservation experts</t>
  </si>
  <si>
    <t>466-475</t>
  </si>
  <si>
    <t>Curzon, H.F. and Kontoleon, A.</t>
  </si>
  <si>
    <t>https://www.scopus.com/inward/record.uri?eid=2-s2.0-84973126959&amp;doi=10.1016%2fj.jenvman.2016.05.062&amp;partnerID=40&amp;md5=b6c5d3b8cd0c05aba5fdbf42b46af641</t>
  </si>
  <si>
    <t>&lt;p&gt;Export Date: 27 January 2025; Cited By: 30&lt;/p&gt; | RAYYAN-INCLUSION: {"Philip"=&gt;"Excluded", "Aidan"=&gt;"Included"}</t>
  </si>
  <si>
    <t>10.1016/j.jenvman.2016.05.062</t>
  </si>
  <si>
    <t>best management practice;Conservation;conservation management;Conservation of Natural Resources;conservation planning;Conservation policy;Decision making;Delphi analysis;Delphi method;DELPHI study;Delphi surveys;environmental impact;environmental policy;environmental protection;Evaluation methods;Evidence based policy;Evidence-based;female;Female;human;Humans;Impact evaluation;male;Male;physician;policy analysis;Policy impact evaluation;program evaluation;Program evaluation;Program Evaluation;project assessment;questionnaire;questionnaire survey;social change;Social Change;social impact;Surveys and Questionnaires;valuation</t>
  </si>
  <si>
    <t>rayyan-153487770</t>
  </si>
  <si>
    <t>The Asia-Pacific Biodiversity Observation Network: 10-year achievements and new strategies to 2030</t>
  </si>
  <si>
    <t>Ecological Research</t>
  </si>
  <si>
    <t>232-257</t>
  </si>
  <si>
    <t>Takeuchi, Y. and Muraoka, H. and Yamakita, T. and Kano, Y. and Nagai, S. and Bunthang, T. and Costello, M.J. and Darnaedi, D. and Diway, B. and Ganyai, T. and Grudpan, C. and Hughes, A. and Ishii, R. and Lim, P.T. and Ma, K. and Muslim, A.M. and Nakano, S.-I. and Nakaoka, M. and Nakashizuka, T. and Onuma, M. and Park, C.-H. and Pungga, R.S. and Saito, Y. and Shakya, M.M. and Sulaiman, M.K. and Sumi, M. and Thach, P. and Trisurat, Y. and Xu, X. and Yamano, H. and Yao, T.L. and Kim, E.-S. and Vergara, S. and Yahara, T.</t>
  </si>
  <si>
    <t>https://www.scopus.com/inward/record.uri?eid=2-s2.0-85101780433&amp;doi=10.1111%2f1440-1703.12212&amp;partnerID=40&amp;md5=51fea1e58ad5b199451a10655d66d860</t>
  </si>
  <si>
    <t>&lt;p&gt;Export Date: 27 January 2025; Cited By: 20&lt;/p&gt; | RAYYAN-INCLUSION: {"Aidan"=&gt;"Excluded"}</t>
  </si>
  <si>
    <t>10.1111/1440-1703.12212</t>
  </si>
  <si>
    <t>biodiversity;capacity building;data sharing;decision making;ecosystem service;forest cover;IPBES;knowledge;master site;observational method;policy making;research work;stakeholder;strategic approach;tropical forest</t>
  </si>
  <si>
    <t>rayyan-153487781</t>
  </si>
  <si>
    <t>Science and elephant management decisions in South Africa</t>
  </si>
  <si>
    <t>876-885</t>
  </si>
  <si>
    <t>Young, K.D. and Van Aarde, R.J.</t>
  </si>
  <si>
    <t>https://www.scopus.com/inward/record.uri?eid=2-s2.0-79451475777&amp;doi=10.1016%2fj.biocon.2010.11.023&amp;partnerID=40&amp;md5=acda64fe0658a0b7d3f6149db2c6b676</t>
  </si>
  <si>
    <t>&lt;p&gt;Export Date: 27 January 2025; Cited By: 51&lt;/p&gt; | RAYYAN-INCLUSION: {"Sarah"=&gt;"Included"}</t>
  </si>
  <si>
    <t>10.1016/j.biocon.2010.11.023</t>
  </si>
  <si>
    <t>Conservation;conservation management;decision making;elephant;Elephantidae;Elephants;End-users;Evidence-based conservation;Management decisions;policy analysis;protected area;questionnaire survey;Science uptake;South Africa</t>
  </si>
  <si>
    <t>rayyan-153487795</t>
  </si>
  <si>
    <t>Integrating decision triggers into conservation management practice</t>
  </si>
  <si>
    <t>494-502</t>
  </si>
  <si>
    <t>de Bie, K. and Addison, P.F.E. and Cook, C.N.</t>
  </si>
  <si>
    <t>https://www.scopus.com/inward/record.uri?eid=2-s2.0-85036522534&amp;doi=10.1111%2f1365-2664.13042&amp;partnerID=40&amp;md5=38e25b062853170e5c85649dc28da846</t>
  </si>
  <si>
    <t>&lt;p&gt;Export Date: 27 January 2025; Cited By: 19&lt;/p&gt; | RAYYAN-INCLUSION: {"Aidan"=&gt;"Excluded"}</t>
  </si>
  <si>
    <t>10.1111/1365-2664.13042</t>
  </si>
  <si>
    <t>adaptive management;conservation planning;decision triggers;decision-making;environment;evidence-based management;management practices;monitoring;proactive management;thresholds</t>
  </si>
  <si>
    <t>rayyan-153487798</t>
  </si>
  <si>
    <t>A first look at the science-policy interface for ocean governance in the Wider Caribbean Region</t>
  </si>
  <si>
    <t>McConney, P. and Fanning, L. and Mahon, R. and Simmons, B.</t>
  </si>
  <si>
    <t>https://www.scopus.com/inward/record.uri?eid=2-s2.0-85008625572&amp;doi=10.3389%2ffmars.2015.00119&amp;partnerID=40&amp;md5=8ad779915f3d48b74523425e956405f8</t>
  </si>
  <si>
    <t>&lt;p&gt;Export Date: 27 January 2025; Cited By: 26&lt;/p&gt; | RAYYAN-INCLUSION: {"Sarah"=&gt;"Included"}</t>
  </si>
  <si>
    <t>10.3389/fmars.2015.00119</t>
  </si>
  <si>
    <t>Caribbean;Interface;Marine;Policy;Science</t>
  </si>
  <si>
    <t>rayyan-153487802</t>
  </si>
  <si>
    <t>Finding a PATH toward scientific collaboration: Insights from the Columbia River Basin</t>
  </si>
  <si>
    <t>Marmorek, D. and Peters, C.</t>
  </si>
  <si>
    <t>https://www.scopus.com/inward/record.uri?eid=2-s2.0-54249094346&amp;doi=10.5751%2fes-00310-050208&amp;partnerID=40&amp;md5=6fefdd58a8cc8036399cc0c023bd8107</t>
  </si>
  <si>
    <t>&lt;p&gt;Export Date: 27 January 2025; Cited By: 13&lt;/p&gt; | RAYYAN-INCLUSION: {"Philip"=&gt;"Excluded"}</t>
  </si>
  <si>
    <t>10.5751/es-00310-050208</t>
  </si>
  <si>
    <t>Adaptive management;Analytical framework;Collaborative process;Columbia River;Decision analysis;Endangered species;Hydrosystem;Multi-agency research;Salmon management;Snake River</t>
  </si>
  <si>
    <t>rayyan-153487823</t>
  </si>
  <si>
    <t>A framework of lessons learned from community-based marine reserves and its effectiveness in guiding a new coastal management initiative in the Philippines</t>
  </si>
  <si>
    <t>786-801</t>
  </si>
  <si>
    <t>Beger, M. and Harborne, A.R. and Dacles, T.P. and Solandt, J.-L. and Ledesma, G.L.</t>
  </si>
  <si>
    <t>https://www.scopus.com/inward/record.uri?eid=2-s2.0-14944344028&amp;doi=10.1007%2fs00267-004-0149-z&amp;partnerID=40&amp;md5=3e76767c76ccdc877c4a9ea064c1eda4</t>
  </si>
  <si>
    <t>&lt;p&gt;Export Date: 27 January 2025; Cited By: 58&lt;/p&gt; | RAYYAN-INCLUSION: {"Philip"=&gt;"Excluded"}</t>
  </si>
  <si>
    <t>10.1007/s00267-004-0149-z</t>
  </si>
  <si>
    <t>Alternative livelihood;Animals;Anthozoa;Asia;Coastal resources management;coastal zone management;Coastal zones;community;Community-based;Community-Institutional Relations;Conservation of Natural Resources;coral reef;Coral reef conservation;data base;Database systems;decision making;Decision making;Decision Making;Eastern Hemisphere;Ecosystem;Environment;Environment Design;Environmental Monitoring;environmental protection;Eurasia;Humans;law;Laws and legislation;Lessons learned;literature;Management inadequacies;Marine Biology;marine environment;marine policy;Marine protected area;Marine resource management;organization;Personnel;Philippines;population;Project expansion;Project management;protected area;review;Societies and institutions;sociobiology;Southeast Asia;World</t>
  </si>
  <si>
    <t>rayyan-153487899</t>
  </si>
  <si>
    <t>Reframing the evidence base for policy-relevance to increase impact: a case study on forest fragmentation in the oil palm sector</t>
  </si>
  <si>
    <t>731-736</t>
  </si>
  <si>
    <t>Lucey, J.M. and Palmer, G. and Yeong, K.L. and Edwards, D.P. and Senior, M.J.M. and Scriven, S.A. and Reynolds, G. and Hill, J.K.</t>
  </si>
  <si>
    <t>https://www.scopus.com/inward/record.uri?eid=2-s2.0-85019156620&amp;doi=10.1111%2f1365-2664.12845&amp;partnerID=40&amp;md5=e4cb39038bef4b8f2e3f0e21fcdab69c</t>
  </si>
  <si>
    <t>&lt;p&gt;Export Date: 27 January 2025; Cited By: 24&lt;/p&gt; | RAYYAN-INCLUSION: {"Sarah"=&gt;"Excluded"}</t>
  </si>
  <si>
    <t>10.1111/1365-2664.12845</t>
  </si>
  <si>
    <t>biodiversity;communication;conservation planning;decision making;ecological economics;ecological impact;ecosystem function;ecosystem functioning;Elaeis;forest;forest ecosystem;forestry;guideline;habitat fragmentation;knowledge;knowledge exchange;oil palm;policy approach;policy development;policy window;species-area relationship;speciesâ€“area relationship;trade-environment relations;tree;tropical;tropical forest</t>
  </si>
  <si>
    <t>rayyan-153487904</t>
  </si>
  <si>
    <t>If there is scientific consensus to revise underlying assumptions or working hypotheses, would this revision have important consequences for management strategies or policy goals?</t>
  </si>
  <si>
    <t>USDA Forest Service - General Technical Report PNW-GTR</t>
  </si>
  <si>
    <t>105-108</t>
  </si>
  <si>
    <t>Stinson, S.</t>
  </si>
  <si>
    <t>https://www.scopus.com/inward/record.uri?eid=2-s2.0-78650505473&amp;partnerID=40&amp;md5=b6e50041064aef98ae4157006e87ec11</t>
  </si>
  <si>
    <t>adaptive management;conservation management;decision making;environmental policy;forest management;habitat conservation;management practice;natural resource;policy strategy;research and development</t>
  </si>
  <si>
    <t>rayyan-153487922</t>
  </si>
  <si>
    <t>Uncertainty and the endangered species act</t>
  </si>
  <si>
    <t>Indiana Law Journal</t>
  </si>
  <si>
    <t>529-536</t>
  </si>
  <si>
    <t>Woods, T. and Morey, S.</t>
  </si>
  <si>
    <t>https://www.scopus.com/inward/record.uri?eid=2-s2.0-47149112218&amp;partnerID=40&amp;md5=8562443933b25178e575d0dc5d85d8d4</t>
  </si>
  <si>
    <t>&lt;p&gt;Export Date: 27 January 2025; Cited By: 7&lt;/p&gt; | RAYYAN-INCLUSION: {"Tabitha"=&gt;"Excluded"}</t>
  </si>
  <si>
    <t>rayyan-153487923</t>
  </si>
  <si>
    <t>Technological advances in biodiversity monitoring: applicability, opportunities and challenges</t>
  </si>
  <si>
    <t>36-41</t>
  </si>
  <si>
    <t>https://www.scopus.com/inward/record.uri?eid=2-s2.0-85091652067&amp;doi=10.1016%2fj.cosust.2020.08.005&amp;partnerID=40&amp;md5=ade63bbbe2de177573616f8d3cf819e1</t>
  </si>
  <si>
    <t>&lt;p&gt;Export Date: 27 January 2025; Cited By: 58&lt;/p&gt; | RAYYAN-INCLUSION: {"Sarah"=&gt;"Excluded"}</t>
  </si>
  <si>
    <t>10.1016/j.cosust.2020.08.005</t>
  </si>
  <si>
    <t>biodiversity;biological development;conservation management;environmental monitoring;genetic analysis;natural resource;taxonomy;technology adoption</t>
  </si>
  <si>
    <t>rayyan-153487944</t>
  </si>
  <si>
    <t>Integrating scientific and local knowledge to address conservation conflicts: Towards a practical framework based on lessons learned from a Scottish case study</t>
  </si>
  <si>
    <t>46-55</t>
  </si>
  <si>
    <t>Ainsworth, G.B. and Redpath, S.M. and Wilson, M. and Wernham, C. and Young, J.C.</t>
  </si>
  <si>
    <t>https://www.scopus.com/inward/record.uri?eid=2-s2.0-85079860106&amp;doi=10.1016%2fj.envsci.2020.02.017&amp;partnerID=40&amp;md5=9feef359dd448b8801e1342b20032e4a</t>
  </si>
  <si>
    <t>&lt;p&gt;Export Date: 27 January 2025; Cited By: 39&lt;/p&gt; | RAYYAN-INCLUSION: {"Philip"=&gt;"Included"}</t>
  </si>
  <si>
    <t>10.1016/j.envsci.2020.02.017</t>
  </si>
  <si>
    <t>article;Community science;conflict;Conflict transformation;human;Knowledge integration;organization;perception;Public benefit;Scotland;Transparency;trust;Trust</t>
  </si>
  <si>
    <t>rayyan-153487978</t>
  </si>
  <si>
    <t>Can methods applied in medicine be used to summarize and disseminate conservation research?</t>
  </si>
  <si>
    <t>190-198</t>
  </si>
  <si>
    <t>Fazey, I. and Salisbury, J.G. and Lindenmayer, D.B. and Maindonald, J. and Douglas, R.</t>
  </si>
  <si>
    <t>https://www.scopus.com/inward/record.uri?eid=2-s2.0-13244282946&amp;doi=10.1017%2fS0376892904001560&amp;partnerID=40&amp;md5=3a381b595424a808b9044d73faff362a</t>
  </si>
  <si>
    <t>&lt;p&gt;Export Date: 27 January 2025; Cited By: 77&lt;/p&gt; | RAYYAN-INCLUSION: {"Philip"=&gt;"Excluded"}</t>
  </si>
  <si>
    <t>10.1017/S0376892904001560</t>
  </si>
  <si>
    <t>Cochrane Library;Communication;conservation;Conservation related decisions;Conservation research;Conservation-related decisions;decision making;Disseminating research;Drug dosage;environmental management;Environmental management;environmental monitoring;environmental protection;Environmental protection;evidence based medicine;Evidence-based conservation;feedback system;health care;Implementing science;information dissemination;information processing;medicine;Medicine;methodology;Patient treatment;politics;research;Research communication;review;sample size;Science communication;Societies and institutions;standard;Systematic reviews</t>
  </si>
  <si>
    <t>rayyan-153487982</t>
  </si>
  <si>
    <t>A mixed methodology for evaluating use of evidence in conservation planning</t>
  </si>
  <si>
    <t>Stevens, M. and Norris, D.R.</t>
  </si>
  <si>
    <t>https://www.scopus.com/inward/record.uri?eid=2-s2.0-85126359040&amp;doi=10.1111%2fcobi.13876&amp;partnerID=40&amp;md5=4e6de12093aa34bfc2e885a0f22d6ed4</t>
  </si>
  <si>
    <t>&lt;p&gt;Export Date: 27 January 2025; Cited By: 1&lt;/p&gt; | RAYYAN-INCLUSION: {"Sarah"=&gt;"Included"}</t>
  </si>
  <si>
    <t>10.1111/cobi.13876</t>
  </si>
  <si>
    <t>AmÃ©rica del Norte;anÃ¡lisis de documentos;Canada;conocimiento ecolÃ³gico tradicional;conservaciÃ³n basada en evidencias;Conservation of Natural Resources;conservation planning;Data Collection;decision making;Decision Making;divisiÃ³n ciencia-prÃ¡ctica;document analysis;ecosystem management;environmental protection;evidence-based conservation;gestiÃ³n ambiental;human;Humans;information processing;knowledge synthesis;methodology;monitoreo y evaluaciÃ³n;monitoring;monitoring and evaluation;North America;procedures;scienceâ€“practice divide;sÃ­ntesis del conocimiento;Social Sciences;sociology;traditional ecological knowledge;ä¼ ç»Ÿç”Ÿæ€çŸ¥è¯†;åŒ—ç¾Žæ´²;åŸºäºŽè¯æ®çš„ä¿æŠ¤;æ–‡ä»¶åˆ†æž;ç”Ÿæ€ç³»ç»Ÿç®¡ç†;ç›‘æµ‹å’Œè¯„ä¼°;çŸ¥è¯†ç»¼è¿°;ç§‘å­¦ä¸Žå®žè·µçš„å·®è·</t>
  </si>
  <si>
    <t>rayyan-153488004</t>
  </si>
  <si>
    <t>Policy windows for the environment: Tips for improving the uptake of scientific knowledge</t>
  </si>
  <si>
    <t>47-54</t>
  </si>
  <si>
    <t>Rose, D.C. and Mukherjee, N. and Simmons, B.I. and Tew, E.R. and Robertson, R.J. and Vadrot, A.B.M. and Doubleday, R. and Sutherland, W.J.</t>
  </si>
  <si>
    <t>https://www.scopus.com/inward/record.uri?eid=2-s2.0-85026410614&amp;doi=10.1016%2fj.envsci.2017.07.013&amp;partnerID=40&amp;md5=13d92a804a491e8c65a67ce516388450</t>
  </si>
  <si>
    <t>&lt;p&gt;Export Date: 27 January 2025; Cited By: 102&lt;/p&gt; | RAYYAN-INCLUSION: {"Carlos"=&gt;"Excluded"}</t>
  </si>
  <si>
    <t>10.1016/j.envsci.2017.07.013</t>
  </si>
  <si>
    <t>Article;environmental carrying capacity;environmental decision making;environmental policy;environmental protection;Evidence-based conservation;Evidence-based policy;Evidence-informed policy;Horizon scanning;human;interdisciplinary research;interview;law enforcement;Policy windows;priority journal;Science-policy interface</t>
  </si>
  <si>
    <t>rayyan-153488069</t>
  </si>
  <si>
    <t>On the accuracy of conservation managers' beliefs and if they learn fromevidence-based knowledge: A preliminary investigation</t>
  </si>
  <si>
    <t>McConnachie, M.M. and Cowling, R.M.</t>
  </si>
  <si>
    <t>https://www.scopus.com/inward/record.uri?eid=2-s2.0-84878387279&amp;doi=10.1016%2fj.jenvman.2013.04.021&amp;partnerID=40&amp;md5=c3dbd93483033a5f5ba46c2c37df0088</t>
  </si>
  <si>
    <t>&lt;p&gt;Export Date: 27 January 2025; Cited By: 13&lt;/p&gt; | RAYYAN-INCLUSION: {"Philip"=&gt;"Excluded", "Prishnee"=&gt;"Included"}</t>
  </si>
  <si>
    <t>10.1016/j.jenvman.2013.04.021</t>
  </si>
  <si>
    <t>accuracy assessment;Alien plants;article;Bias;biological invasion;Biological invasion;Budget control;catchment;Catchments;conservation management;Cost effectiveness;cost effectiveness analysis;cost-benefit analysis;Cost-effectiveness;decision making;Decision making;Decision-making;Decisions makings;environmental management;environmental monitoring;environmental protection;evidence based practice;Evidence-based;Exposed to;Financial costs;invasive species;knowledge;Learn+;learning;Learning;Monitoring and evaluation;Monitoring and evaluations;plant growth;Runoff;social belief</t>
  </si>
  <si>
    <t>rayyan-153488096</t>
  </si>
  <si>
    <t>Rethinking the role of ecological research in the sustainable management of freshwater ecosystems</t>
  </si>
  <si>
    <t>Freshwater Biology</t>
  </si>
  <si>
    <t>258-269</t>
  </si>
  <si>
    <t>Hart, D.D. and Calhoun, A.J.K.</t>
  </si>
  <si>
    <t>https://www.scopus.com/inward/record.uri?eid=2-s2.0-74549161451&amp;doi=10.1111%2fj.1365-2427.2009.02370.x&amp;partnerID=40&amp;md5=6d0104b5340af88fed43e30b97f94710</t>
  </si>
  <si>
    <t>&lt;p&gt;Export Date: 27 January 2025; Cited By: 54&lt;/p&gt; | RAYYAN-INCLUSION: {"Isobel"=&gt;"Included"}</t>
  </si>
  <si>
    <t>10.1111/j.1365-2427.2009.02370.x</t>
  </si>
  <si>
    <t>Interdisciplinary research;Knowledge-to-action;Problem solving;Sustainability science;Vernal pools</t>
  </si>
  <si>
    <t>rayyan-153488173</t>
  </si>
  <si>
    <t>Ten Considerations for Research Funders Seeking to Enhance Knowledge Exchange and the Impact of Marine Science on Policy and Practice</t>
  </si>
  <si>
    <t>Cvitanovic, C. and Wyborn, C. and Glenn, E. and Kelly, R. and Louder, E. and van Putten, E.I. and Bednarek, A.</t>
  </si>
  <si>
    <t>https://www.scopus.com/inward/record.uri?eid=2-s2.0-85113158800&amp;doi=10.3389%2ffmars.2021.704495&amp;partnerID=40&amp;md5=d085d2c8fd60f9f442c7dcdb05c06872</t>
  </si>
  <si>
    <t>&lt;p&gt;Export Date: 27 January 2025; Cited By: 16&lt;/p&gt; | RAYYAN-INCLUSION: {"Matthew"=&gt;"Excluded"}</t>
  </si>
  <si>
    <t>10.3389/fmars.2021.704495</t>
  </si>
  <si>
    <t>knowledge exchange;marine management;research funders;research impact;science-policy</t>
  </si>
  <si>
    <t>rayyan-153488181</t>
  </si>
  <si>
    <t>Determining the location of protected areas in France: Does â€œscientific interestâ€ matter?</t>
  </si>
  <si>
    <t>379-386</t>
  </si>
  <si>
    <t>ChassÃ©, P. and Blatrix, C. and Frascaria-Lacoste, N.</t>
  </si>
  <si>
    <t>https://www.scopus.com/inward/record.uri?eid=2-s2.0-85105067217&amp;doi=10.1016%2fj.pecon.2021.03.006&amp;partnerID=40&amp;md5=9cfccddcee175f0a4e43c9495da7156b</t>
  </si>
  <si>
    <t>&lt;p&gt;Export Date: 27 January 2025; Cited By: 5&lt;/p&gt; | RAYYAN-INCLUSION: {"Matthew"=&gt;"Included", "Philip"=&gt;"Excluded"}</t>
  </si>
  <si>
    <t>10.1016/j.pecon.2021.03.006</t>
  </si>
  <si>
    <t>Evidence-based policy;Expertise;Interdisciplinary research;Policy process;Protected areas;Scientific interest</t>
  </si>
  <si>
    <t>rayyan-153488183</t>
  </si>
  <si>
    <t>AI-Empowered Peatland Management for Climate-Resilient and Sustainable Future: Challenges and Opportunities</t>
  </si>
  <si>
    <t>4th International Conference on Emerging Smart Technologies and Applications, eSmarTA 2024</t>
  </si>
  <si>
    <t>Alsamhi, S.H. and Rowan, N.J. and Hawbani, A. and Nashwan, F. and O'Brolchain, N.</t>
  </si>
  <si>
    <t>https://www.scopus.com/inward/record.uri?eid=2-s2.0-85203677909&amp;doi=10.1109%2feSmarTA62850.2024.10638930&amp;partnerID=40&amp;md5=cac6a3b124e9b492908d769a0b647ebd</t>
  </si>
  <si>
    <t>10.1109/eSmarTA62850.2024.10638930</t>
  </si>
  <si>
    <t>artificial intelligence;Biodiversity;Carbon capture and utilization;carbon sequestration;Carbon sequestration;climate change;climate resilience;Climate resilience;Ecological systems;Future challenges;Intelligence support;land degradation;Land degradation;Monitoring programmes;Peat land;Policy makers;Restoration project;sustainability</t>
  </si>
  <si>
    <t>rayyan-153488184</t>
  </si>
  <si>
    <t>Science as a Bridge in Communicating Needs and Implementing Changes towards Wetland Conservation in Taiwan</t>
  </si>
  <si>
    <t>Wetlands</t>
  </si>
  <si>
    <t>1223-1232</t>
  </si>
  <si>
    <t>Wang, H.-W. and Dodd, A. and Kuo, P.-H. and LePage, B.</t>
  </si>
  <si>
    <t>https://www.scopus.com/inward/record.uri?eid=2-s2.0-85056193713&amp;doi=10.1007%2fs13157-018-1096-4&amp;partnerID=40&amp;md5=3bc2ae66ce3a30e6693802dae0503bfe</t>
  </si>
  <si>
    <t>&lt;p&gt;Export Date: 27 January 2025; Cited By: 5&lt;/p&gt; | RAYYAN-INCLUSION: {"Philip"=&gt;"Excluded", "Alice"=&gt;"Included"}</t>
  </si>
  <si>
    <t>10.1007/s13157-018-1096-4</t>
  </si>
  <si>
    <t>applied science;Community participation;decision making;ecosystem service;Ecosystem services;empowerment;local participation;Participatory action research (PAR);participatory approach;stakeholder;Taiwan;traditional knowledge;wetland;wetland management;Wetland management</t>
  </si>
  <si>
    <t>rayyan-153488205</t>
  </si>
  <si>
    <t>Making adaptive management more user friendly to encourage manager buy-in</t>
  </si>
  <si>
    <t>684-698</t>
  </si>
  <si>
    <t>Kuiper, T. and Ngwenya, N. and Kavhu, B. and Mandisodza-Chikerema, R. and Milner-Gulland, E.J.</t>
  </si>
  <si>
    <t>https://www.scopus.com/inward/record.uri?eid=2-s2.0-85151734266&amp;doi=10.1002%2fpan3.10440&amp;partnerID=40&amp;md5=7a20545162951295c7525777d41516f5</t>
  </si>
  <si>
    <t>&lt;p&gt;Export Date: 27 January 2025; Cited By: 1&lt;/p&gt; | RAYYAN-INCLUSION: {"Philip"=&gt;"Included", "Nibedita"=&gt;"Included"}</t>
  </si>
  <si>
    <t>10.1002/pan3.10440</t>
  </si>
  <si>
    <t>decision-making;elephant;environmental management;evidence-based conservation;management strategy evaluation;poaching;protected area management;technology adoption</t>
  </si>
  <si>
    <t>rayyan-153488223</t>
  </si>
  <si>
    <t>Navigating the fiery debate: The role of scientific evidence in eliciting policy and management responses for contentious plants in northern Australia</t>
  </si>
  <si>
    <t>Pacific Conservation Biology</t>
  </si>
  <si>
    <t>318-328</t>
  </si>
  <si>
    <t>Setterfield, S.A. and Rossiter-Rachor, N.A. and Adams, V.M.</t>
  </si>
  <si>
    <t>https://www.scopus.com/inward/record.uri?eid=2-s2.0-85052488312&amp;doi=10.1071%2fPC18028&amp;partnerID=40&amp;md5=c27fa1eedae656fe53190d9c2690068a</t>
  </si>
  <si>
    <t>10.1071/PC18028</t>
  </si>
  <si>
    <t>Australia;biodiversity;conservation biology;conservation policy;conservation status;decision making;environmental management;environmental policy;invasive species;plant;risk assessment;savanna</t>
  </si>
  <si>
    <t>rayyan-153488236</t>
  </si>
  <si>
    <t>The need for an evidence-led approach to rewilding</t>
  </si>
  <si>
    <t>O'Connell, M.J. and Prudhomme, C.T.</t>
  </si>
  <si>
    <t>https://www.scopus.com/inward/record.uri?eid=2-s2.0-85189807038&amp;doi=10.1016%2fj.jnc.2024.126609&amp;partnerID=40&amp;md5=a49798638f5f2d3041f9190b98a0f39c</t>
  </si>
  <si>
    <t>10.1016/j.jnc.2024.126609</t>
  </si>
  <si>
    <t>Characterisation;conservation management;conservation planning;decision making;Decision tools;Enabling;Evidence-led;future prospect;growth response;nature conservation;Rewilding;Scotland;spatiotemporal analysis;United Kingdom</t>
  </si>
  <si>
    <t>rayyan-153488252</t>
  </si>
  <si>
    <t>Exploring the davidson seamount: Combining science, public outreach, and resource management</t>
  </si>
  <si>
    <t>371-376</t>
  </si>
  <si>
    <t>DeVogelaere, A. and Kochevar, R. and Tamburri, M. and Cailliet, G. and Burton, E. and Benson, S. and Douros, W.</t>
  </si>
  <si>
    <t>https://www.scopus.com/inward/record.uri?eid=2-s2.0-21644471274&amp;doi=10.1061%2f40761%28175%2934&amp;partnerID=40&amp;md5=5ce6748ca7be8c9810ebfc6115db2d61</t>
  </si>
  <si>
    <t>&lt;p&gt;Export Date: 27 January 2025; Cited By: 1&lt;/p&gt; | RAYYAN-INCLUSION: {"Prishnee"=&gt;"Excluded"}</t>
  </si>
  <si>
    <t>10.1061/40761(175)34</t>
  </si>
  <si>
    <t>American airlines (CO);Coastal zones;Data reduction;Decision making;Deep-water fishes;Electronic mail;Marine biology;Monterey Bay National Marine Sanctuary;Ocean habitats;Remotely operated vehicles;Resource management</t>
  </si>
  <si>
    <t>rayyan-153488278</t>
  </si>
  <si>
    <t>Conservation practitionersâ€™ understanding of how to manage evolutionary processes</t>
  </si>
  <si>
    <t>993-1001</t>
  </si>
  <si>
    <t>Cook, C.N. and SgrÃ², C.M.</t>
  </si>
  <si>
    <t>https://www.scopus.com/inward/record.uri?eid=2-s2.0-85063720388&amp;doi=10.1111%2fcobi.13306&amp;partnerID=40&amp;md5=9fbd19063993da48cb3ef5848b441168</t>
  </si>
  <si>
    <t>&lt;p&gt;Export Date: 27 January 2025; Cited By: 13&lt;/p&gt; | RAYYAN-INCLUSION: {"Philip"=&gt;"Excluded", "Elina"=&gt;"Included", "Alec"=&gt;"Included"}</t>
  </si>
  <si>
    <t>10.1111/cobi.13306</t>
  </si>
  <si>
    <t>attitude to health;Australia;Biological Evolution;conservation genetics;Conservation of Natural Resources;decision making;Decision Making;environmental protection;evolution;evolutionary theory;gene flow;Health Knowledge, Attitudes, Practice;inbreeding depression;knowledge;knowledge exchange;learning;learning by doing;outbreeding depression;reproductive success;restoration;restoration ecology;translocation</t>
  </si>
  <si>
    <t>rayyan-153488316</t>
  </si>
  <si>
    <t>Iterative mapping of marine ecosystems for spatial status assessment, prioritization, and decision support</t>
  </si>
  <si>
    <t>Sink, K.J. and Adams, L.A. and Franken, M.-L. and Harris, L.R. and Currie, J. and Karenyi, N. and Dayaram, A. and Porter, S. and Kirkman, S. and Pfaff, M. and van Niekerk, L. and Atkinson, L.J. and Bernard, A. and Bessinger, M. and Cawthra, H. and de Wet, W. and Dunga, L. and Filander, Z. and Green, A. and Herbert, D. and Holness, S. and Lamberth, S. and Livingstone, T. and LÃ¼ck-Vogel, M. and Mackay, F. and Makwela, M. and Palmer, R. and Van Zyl, W. and Skowno, A.</t>
  </si>
  <si>
    <t>https://www.scopus.com/inward/record.uri?eid=2-s2.0-85153346539&amp;doi=10.3389%2ffevo.2023.1108118&amp;partnerID=40&amp;md5=ac2b3ca9389e7b15718757604fb6e877</t>
  </si>
  <si>
    <t>&lt;p&gt;Export Date: 27 January 2025; Cited By: 6&lt;/p&gt; | RAYYAN-INCLUSION: {"Philip"=&gt;"Excluded", "Tabitha"=&gt;"Included"}</t>
  </si>
  <si>
    <t>10.3389/fevo.2023.1108118</t>
  </si>
  <si>
    <t>benthic ecosystems;ecosystem mapping;ecosystem types;evidence-based biodiversity management;marine ecosystem map;pelagic ecosystems</t>
  </si>
  <si>
    <t>rayyan-153488317</t>
  </si>
  <si>
    <t>Synergies and Trade-Offs in Reducing Impacts of Unconventional Oil and Gas Development on Wildlife and Human Health</t>
  </si>
  <si>
    <t>BioScience</t>
  </si>
  <si>
    <t>472-480</t>
  </si>
  <si>
    <t>Deziel, N.C. and Shamasunder, B. and Pejchar, L.</t>
  </si>
  <si>
    <t>https://www.scopus.com/inward/record.uri?eid=2-s2.0-85132129839&amp;doi=10.1093%2fbiosci%2fbiac014&amp;partnerID=40&amp;md5=569fba9c2d221eba1b47c5a0052117bd</t>
  </si>
  <si>
    <t>10.1093/biosci/biac014</t>
  </si>
  <si>
    <t>energy extraction;energy justice;One Health;public health;wildlife conservation</t>
  </si>
  <si>
    <t>rayyan-153488415</t>
  </si>
  <si>
    <t>Facilitating the wise use of experts and evidence to inform local environmental decisions</t>
  </si>
  <si>
    <t>904-917</t>
  </si>
  <si>
    <t>MacLeod, C.J. and Brandt, A.J. and Dicks, L.V.</t>
  </si>
  <si>
    <t>https://www.scopus.com/inward/record.uri?eid=2-s2.0-85129426781&amp;doi=10.1002%2fpan3.10328&amp;partnerID=40&amp;md5=ff74d6f4f279c59542b1c5b2ee92ea02</t>
  </si>
  <si>
    <t>10.1002/pan3.10328</t>
  </si>
  <si>
    <t>biodiversity;boundary science;decision-making;evidence;experts;judgement;priorities</t>
  </si>
  <si>
    <t>rayyan-153488434</t>
  </si>
  <si>
    <t>Water Quality &amp; natural resource management on military training lands in Central Texas: Improved decision support via Bayesian Networks</t>
  </si>
  <si>
    <t>Sustainability of Water Quality and Ecology</t>
  </si>
  <si>
    <t>39-52</t>
  </si>
  <si>
    <t>Fox, W.E. and Medina-Cetina, Z. and Angerer, J. and Varela, P. and Ryang Chung, J.</t>
  </si>
  <si>
    <t>https://www.scopus.com/inward/record.uri?eid=2-s2.0-85019129505&amp;doi=10.1016%2fj.swaqe.2017.03.001&amp;partnerID=40&amp;md5=ec9f0f936b8754a9f0831ef827931ca0</t>
  </si>
  <si>
    <t>10.1016/j.swaqe.2017.03.001</t>
  </si>
  <si>
    <t>rayyan-153488456</t>
  </si>
  <si>
    <t>How practitioners integrate decision triggers with existing metrics in conservation monitoring</t>
  </si>
  <si>
    <t>94-101</t>
  </si>
  <si>
    <t>Foster, C.N. and O'Loughlin, L.S. and Sato, C.F. and Westgate, M.J. and Barton, P.S. and Pierson, J.C. and Balmer, J.M. and Catt, G. and Chapman, J. and Detto, T. and Hawcroft, A. and Jones, G. and Kavanagh, R.P. and McKay, M. and Marshall, D. and Moseby, K.E. and Perry, M. and Robinson, D. and Seddon, J.A. and Tuft, K. and Lindenmayer, D.B.</t>
  </si>
  <si>
    <t>https://www.scopus.com/inward/record.uri?eid=2-s2.0-85054727122&amp;doi=10.1016%2fj.jenvman.2018.09.067&amp;partnerID=40&amp;md5=9afaefdf1b1407562fd22d1379f30471</t>
  </si>
  <si>
    <t>&lt;p&gt;Export Date: 27 January 2025; Cited By: 14&lt;/p&gt; | RAYYAN-INCLUSION: {"Carlos"=&gt;"Included"}</t>
  </si>
  <si>
    <t>10.1016/j.jenvman.2018.09.067</t>
  </si>
  <si>
    <t>adult;article;biodiversity;Biodiversity;bioindicator;Case-studies;conservation management;consultation;decision making;Decision making;Decision Making;Decision threshold;Decision thresholds;Direct measures;Ecology;Ecosystem changes;ecosystem dynamics;environmental monitoring;Environmental Monitoring;environmental planning;Evidence-based management;Evidence-based managements;funding;human;Humans;Indicators;Limited attentions;Management practises;monitoring;Monitoring;Monitoring programmes;native species;nonhuman;physician;Proxy;staff;Surrogate;surrogate method;Surrogates;uncertainty;Uncertainty</t>
  </si>
  <si>
    <t>rayyan-153488463</t>
  </si>
  <si>
    <t>To mix or not to mix gene pools for threatened species management? Few studies use genetic data to examine the risks of both actions, but failing to do so leads disproportionately to recommendations for separate management</t>
  </si>
  <si>
    <t>Liddell, E. and Sunnucks, P. and Cook, C.N.</t>
  </si>
  <si>
    <t>https://www.scopus.com/inward/record.uri?eid=2-s2.0-85103650384&amp;doi=10.1016%2fj.biocon.2021.109072&amp;partnerID=40&amp;md5=e0545f88adf0d2054d30514f8452be14</t>
  </si>
  <si>
    <t>&lt;p&gt;Export Date: 27 January 2025; Cited By: 47&lt;/p&gt; | RAYYAN-INCLUSION: {"Tabitha"=&gt;"Excluded"}</t>
  </si>
  <si>
    <t>10.1016/j.biocon.2021.109072</t>
  </si>
  <si>
    <t>conservation genetics;Conservation management;decision making;endangered species;gene flow;Gene flow;genetic analysis;Genetic diversity;genetic variation;inbreeding depression;Inbreeding depression;Outbreeding depression;Population genetics;Risk assessment</t>
  </si>
  <si>
    <t>rayyan-153488470</t>
  </si>
  <si>
    <t>Moving beyond the pathology of policies pushing species toward extinction: The case of spectacled flying foxes in Australia</t>
  </si>
  <si>
    <t>87-103</t>
  </si>
  <si>
    <t>Preece, N. and McGrath, C. and Kerr, M.T.</t>
  </si>
  <si>
    <t>https://www.scopus.com/inward/record.uri?eid=2-s2.0-85201090755&amp;doi=10.1002%2finc3.54&amp;partnerID=40&amp;md5=96347610ca62e656253950ffa9dc693e</t>
  </si>
  <si>
    <t>10.1002/inc3.54</t>
  </si>
  <si>
    <t>endangered species;legislative reform;passive resistance;recovery plan;rhetorical adoption</t>
  </si>
  <si>
    <t>rayyan-153488475</t>
  </si>
  <si>
    <t>Aligning evidence for use in decisions: Mechanisms to link collated evidence to the needs of policy-makers and practitioners</t>
  </si>
  <si>
    <t>129-142</t>
  </si>
  <si>
    <t>Dicks, L.V. and Livoreil, B. and Smith, R.K. and Wittmer, H. and Young, J.</t>
  </si>
  <si>
    <t>https://www.scopus.com/inward/record.uri?eid=2-s2.0-85194327662&amp;doi=10.1017%2f9781108638210.008&amp;partnerID=40&amp;md5=c707494813d928653b8b84fe21550fb1</t>
  </si>
  <si>
    <t>boundary organisations;cost;credibility;decision support systems;decision support tools;knowledge exchange;legitimacy;salience;scientific assessments;transparency</t>
  </si>
  <si>
    <t>rayyan-153488501</t>
  </si>
  <si>
    <t>Conservation of kit foxes in the great basin desert: Review and recommendations</t>
  </si>
  <si>
    <t>679-698</t>
  </si>
  <si>
    <t>Lonsinger, R.C. and Kluever, B.M. and Hall, L.K. and Larsen, R.T. and Gese, E.M. and Waits, L.P. and Knight, R.N.</t>
  </si>
  <si>
    <t>https://www.scopus.com/inward/record.uri?eid=2-s2.0-85102699407&amp;doi=10.3996%2fJFWM-20-025&amp;partnerID=40&amp;md5=e8d04b26e2d2fec25915551b455c5082</t>
  </si>
  <si>
    <t>10.3996/JFWM-20-025</t>
  </si>
  <si>
    <t>Federal land management;Genetic monitoring;Noninvasive monitoring;Predation;Radiotelemetry;Remote cameras;Vulpes macrotis</t>
  </si>
  <si>
    <t>rayyan-153488502</t>
  </si>
  <si>
    <t>Local Planning and National Environmental Assessment Procedures: The Developer's Mitigated Role in Disjointed Negotiation Processes</t>
  </si>
  <si>
    <t>Urban Studies</t>
  </si>
  <si>
    <t>2037-2052</t>
  </si>
  <si>
    <t>Pinho, P.</t>
  </si>
  <si>
    <t>https://www.scopus.com/inward/record.uri?eid=2-s2.0-0031432121&amp;doi=10.1080%2f0042098975213&amp;partnerID=40&amp;md5=154cb8c76267e08757ef9fe8c866ef25</t>
  </si>
  <si>
    <t>10.1080/0042098975213</t>
  </si>
  <si>
    <t>development control;environmental impact assessment;negotiation process;planning practice;Portugal</t>
  </si>
  <si>
    <t>rayyan-153488520</t>
  </si>
  <si>
    <t>Debates about new wilderness in the black forest: How better not argue against a planned national park</t>
  </si>
  <si>
    <t>Naturschutz und Landschaftsplanung</t>
  </si>
  <si>
    <t>37-44</t>
  </si>
  <si>
    <t>Luick, R. and Reif, A.</t>
  </si>
  <si>
    <t>https://www.scopus.com/inward/record.uri?eid=2-s2.0-84873459378&amp;partnerID=40&amp;md5=9c41e8591a0b159ba3dc4ff9f2f03932</t>
  </si>
  <si>
    <t>&lt;p&gt;Export Date: 27 January 2025; Cited By: 1&lt;/p&gt; | RAYYAN-INCLUSION: {"Aidan"=&gt;"Excluded"}</t>
  </si>
  <si>
    <t>conservation management;decision making;forest management;Germany;national park;nature conservation;theoretical study;wilderness area</t>
  </si>
  <si>
    <t>rayyan-153488535</t>
  </si>
  <si>
    <t>Perspectives on challenges and opportunities at the restoration-policy interface in the U.S.A.</t>
  </si>
  <si>
    <t>Samuel, E.M. and Mitchell, R.M. and Winkler, D.E.</t>
  </si>
  <si>
    <t>https://www.scopus.com/inward/record.uri?eid=2-s2.0-85144074824&amp;doi=10.1111%2frec.13823&amp;partnerID=40&amp;md5=4320242f5ab86804855eb289a8a97fdb</t>
  </si>
  <si>
    <t>10.1111/rec.13823</t>
  </si>
  <si>
    <t>community engagement;ecological restoration;environmental policy;environmental restoration;incentive;incentive structures;interdisciplinary approach;knowledge;knowledge sharing;local participation;restoration ecology;transdisciplinary collaboration;United States</t>
  </si>
  <si>
    <t>rayyan-153488558</t>
  </si>
  <si>
    <t>Are we missing the boat? Current uses of long-term biological monitoring data in the evaluation and management of marine protected areas</t>
  </si>
  <si>
    <t>148-156</t>
  </si>
  <si>
    <t>Addison, P.F.E. and Flander, L.B. and Cook, C.N.</t>
  </si>
  <si>
    <t>https://www.scopus.com/inward/record.uri?eid=2-s2.0-84928896462&amp;doi=10.1016%2fj.jenvman.2014.10.023&amp;partnerID=40&amp;md5=bda469c58981a8d644e4990d7eeb7a9e</t>
  </si>
  <si>
    <t>&lt;p&gt;Export Date: 27 January 2025; Cited By: 47&lt;/p&gt; | RAYYAN-INCLUSION: {"Sarah"=&gt;"Included"}</t>
  </si>
  <si>
    <t>10.1016/j.jenvman.2014.10.023</t>
  </si>
  <si>
    <t>Article;Australia;best management practice;biological monitoring;Biological monitoring;biomonitoring;coastal zone management;Condition monitoring;Conservation;conservation management;Conservation of Natural Resources;data interpretation;ecological approach;Effectiveness evaluation;environmental assessment;environmental management;environmental monitoring;Environmental Monitoring;environmental protection;Environmental protection;evidence based practice;Evidence-based management;Evidence-based managements;human;Humans;interview;Interviews as Topic;Knowledge management;Long term monitoring;Long-term monitoring;Management effectiveness;management effectiveness evaluation;Management effectiveness evaluation;marine environment;marine park;Marine protected area;Oceans and Seas;Organization and Administration;organization and management;outcome assessment;Outcome assessment;procedures;program effectiveness;program evaluation;Program Evaluation;Protected area management;quantitative analysis;Quantitative monitoring;questionnaire survey;sea;seashore;standards;statistics and numerical data</t>
  </si>
  <si>
    <t>rayyan-153488643</t>
  </si>
  <si>
    <t>Tailoring evidence into action: Using a co-design approach for biodiversity information in the Tropical Andes</t>
  </si>
  <si>
    <t>Valdez, J.W. and Pereira, H.M. and MorejÃ³n, G.F. and Acosta-MuÃ±oz, C. and Bonet Garcia, F.J. and Castro Vergara, L. and Claros, X.R. and Gill, M.J. and Josse, C. and Lafuente-Cartagena, I. and Langstroth, R. and Sheppard, S.N. and Orihuela, G. and Prieto-Albuja, F.J. and Quillahuaman, N. and TerÃ¡n, M.F. and Zambrana-Torrelio, C.M. and Navarro, L.M. and Fernandez, M.</t>
  </si>
  <si>
    <t>https://www.scopus.com/inward/record.uri?eid=2-s2.0-85176109537&amp;doi=10.1111%2fcsp2.13035&amp;partnerID=40&amp;md5=624834933d0b68aff3a69f42f9b68dee</t>
  </si>
  <si>
    <t>&lt;p&gt;Export Date: 27 January 2025; Cited By: 2&lt;/p&gt; | RAYYAN-INCLUSION: {"Philip"=&gt;"Included"}</t>
  </si>
  <si>
    <t>10.1111/csp2.13035</t>
  </si>
  <si>
    <t>Bolivia;EBV;Ecuador;essential biodiversity variables;mainstreaming;Peru;policy;stakeholder engagement</t>
  </si>
  <si>
    <t>rayyan-153488726</t>
  </si>
  <si>
    <t>Bridging knowledge and science to sustainable development policy: The role of geospatial technologies</t>
  </si>
  <si>
    <t>35th Asian Conference on Remote Sensing 2014, ACRS 2014: Sensing for Reintegration of Societies</t>
  </si>
  <si>
    <t>Metternicht, G.</t>
  </si>
  <si>
    <t>https://www.scopus.com/inward/record.uri?eid=2-s2.0-84925433100&amp;partnerID=40&amp;md5=63a262cc69a23623d9636a8bd5b55b5e</t>
  </si>
  <si>
    <t>Assessment;Biodiversity;Climate change;Data and information;Decision making;Earth (planet);Environmental protection;Environmental sustainability;Environmental technology;Geo-spatial;Geospatial;Geospatial technology;Orbits;Planning;Policy;Public policy;Remote sensing;Reporting;Resource availability;Scientific knowledge;Sustainable development</t>
  </si>
  <si>
    <t>rayyan-153488826</t>
  </si>
  <si>
    <t>Antarctic Marine Protected Area: the way of conservation in the game of science and policy</t>
  </si>
  <si>
    <t>Journal of Shanghai Ocean University</t>
  </si>
  <si>
    <t>883-892</t>
  </si>
  <si>
    <t>Zhao, H. and Zhu, G.</t>
  </si>
  <si>
    <t>https://www.scopus.com/inward/record.uri?eid=2-s2.0-85187723020&amp;doi=10.12024%2fjsou.20220503866&amp;partnerID=40&amp;md5=2d9f5056b79c8113823db715f5422cbd</t>
  </si>
  <si>
    <t>10.12024/jsou.20220503866</t>
  </si>
  <si>
    <t>Antarctic;marine ecology;Marine Protection Area;ocean governance;spatial management</t>
  </si>
  <si>
    <t>rayyan-153488828</t>
  </si>
  <si>
    <t>Evidence Synthesis towards a Holistic Landscape Decision Framework: Insight from the Landscape Decisions Programme</t>
  </si>
  <si>
    <t>Ofoegbu, C. and Balzter, H. and Phillips, M.</t>
  </si>
  <si>
    <t>https://www.scopus.com/inward/record.uri?eid=2-s2.0-85169089139&amp;doi=10.3390%2fland12081543&amp;partnerID=40&amp;md5=5da4a7c980f1b914491869362cb01441</t>
  </si>
  <si>
    <t>&lt;p&gt;Export Date: 27 January 2025; Cited By: 0&lt;/p&gt; | RAYYAN-INCLUSION: {"Carlos"=&gt;"Excluded", "Elina"=&gt;"Excluded"}</t>
  </si>
  <si>
    <t>10.3390/land12081543</t>
  </si>
  <si>
    <t>ecosystem service;ecosystem services;environmental policy;governance approach;holistic approach;land use planning;land-use framework;landscape governance;landscape planning;sustainability;sustainable landscape;transdisciplinary synthesis</t>
  </si>
  <si>
    <t>rayyan-153488831</t>
  </si>
  <si>
    <t>Endangered Mangroves in Segara Anakan, Indonesia: Effective and Failed Problem-Solving Policy Advice</t>
  </si>
  <si>
    <t>409-421</t>
  </si>
  <si>
    <t>Dharmawan, B. and BÃ¶cher, M. and Krott, M.</t>
  </si>
  <si>
    <t>https://www.scopus.com/inward/record.uri?eid=2-s2.0-85017522315&amp;doi=10.1007%2fs00267-017-0868-6&amp;partnerID=40&amp;md5=7009ce914aedc1d03908ee52aa2011cb</t>
  </si>
  <si>
    <t>&lt;p&gt;Export Date: 27 January 2025; Cited By: 18&lt;/p&gt; | RAYYAN-INCLUSION: {"Iris"=&gt;"Included"}</t>
  </si>
  <si>
    <t>10.1007/s00267-017-0868-6</t>
  </si>
  <si>
    <t>attitude to health;Conservation of Natural Resources;decision making;Decision making;Decision Making;District government;Document analysis;endangered species;Endangered Species;environmental modeling;environmental policy;environmental protection;environmental research;government;government regulation;Government Regulation;Greater Sunda Islands;Health Knowledge, Attitudes, Practice;human;Humans;Inappropriate use;Indonesia;Information management;Integration;interview;Java;knowledge;Knowledge management;Knowledge transfer;legislation and jurisprudence;management;mangrove;methodology;model;Models, Theoretical;nonhuman;Policy interaction;Policy Making;problem solving;Problem solving;Problem Solving;procedures;Public policy;Research Design;Rhizophoraceae;RIU model;Scienceâ€“policy interactions;Scientific findings;Scientific knowledge;Scientific research;Scientific researches;scientist;Segara Anakan Lagoon;sound;Sunda Isles;theoretical model;wetland;Wetlands</t>
  </si>
  <si>
    <t>rayyan-153488893</t>
  </si>
  <si>
    <t>Role of integrated assessment and scenario development issues beyond SRES</t>
  </si>
  <si>
    <t>Environmental Economics and Policy Studies</t>
  </si>
  <si>
    <t>315-330</t>
  </si>
  <si>
    <t>Mori, S.</t>
  </si>
  <si>
    <t>https://www.scopus.com/inward/record.uri?eid=2-s2.0-84919828311&amp;doi=10.1007%2fBF03354005&amp;partnerID=40&amp;md5=11804b6a5aa91060c40c23fddde33586</t>
  </si>
  <si>
    <t>10.1007/BF03354005</t>
  </si>
  <si>
    <t>Atmospheric temperature;Global warming;Integrated assessment;Scenario;Uncertainty</t>
  </si>
  <si>
    <t>rayyan-153488969</t>
  </si>
  <si>
    <t>The need, opportunities, and challenges for creating a standardized framework for marine restoration monitoring and reporting</t>
  </si>
  <si>
    <t>Eger, A.M. and Earp, H.S. and Friedman, K. and Gatt, Y. and Hagger, V. and Hancock, B. and Kaewsrikhaw, R. and Mcleod, E. and Moore, A.M. and Niner, H.J. and Razafinaivo, F. and Sousa, A.I. and Stankovic, M. and Worthington, T.A. and Bayraktarov, E. and Saunders, M. and VergÃ©s, A. and Reeves, S.</t>
  </si>
  <si>
    <t>https://www.scopus.com/inward/record.uri?eid=2-s2.0-85122426762&amp;doi=10.1016%2fj.biocon.2021.109429&amp;partnerID=40&amp;md5=d203d263977845bc53874d778a9be899</t>
  </si>
  <si>
    <t>&lt;p&gt;Export Date: 27 January 2025; Cited By: 22&lt;/p&gt; | RAYYAN-INCLUSION: {"Alice"=&gt;"Excluded"}</t>
  </si>
  <si>
    <t>10.1016/j.biocon.2021.109429</t>
  </si>
  <si>
    <t>adaptive management;Conservation evidence;Ecosystem restoration;environmental monitoring;habitat restoration;Marine;marine environment;Monitoring;Reporting;restoration ecology;sustainability;sustainable development</t>
  </si>
  <si>
    <t>rayyan-153488980</t>
  </si>
  <si>
    <t>Challenges and successes to the implementation of a zoo conservation-education program</t>
  </si>
  <si>
    <t>Evaluation and Program Planning</t>
  </si>
  <si>
    <t>Mellish, S. and Ryan, J.C. and McLeod, E.M. and Tuckey, M.R. and Pearson, E.L.</t>
  </si>
  <si>
    <t>https://www.scopus.com/inward/record.uri?eid=2-s2.0-85104149671&amp;doi=10.1016%2fj.evalprogplan.2021.101950&amp;partnerID=40&amp;md5=256d85adfd2d399a8459c20dbbea801f</t>
  </si>
  <si>
    <t>&lt;p&gt;Export Date: 27 January 2025; Cited By: 5&lt;/p&gt; | RAYYAN-INCLUSION: {"Tabitha"=&gt;"Excluded"}</t>
  </si>
  <si>
    <t>10.1016/j.evalprogplan.2021.101950</t>
  </si>
  <si>
    <t>Australia;biodiversity;Biodiversity;Conservation;conservation management;Education;environmental education;implementation process;Implementation science;Program implementation;social impact;Victoria [Australia];zoo;Zoo</t>
  </si>
  <si>
    <t>rayyan-153488982</t>
  </si>
  <si>
    <t>Risk aversion and uncertainty create a conundrum for planning recovery of a critically endangered species</t>
  </si>
  <si>
    <t>Canessa, S. and Taylor, G. and Clarke, R.H. and Ingwersen, D. and Vandersteen, J. and Ewen, J.G.</t>
  </si>
  <si>
    <t>https://www.scopus.com/inward/record.uri?eid=2-s2.0-85088799247&amp;doi=10.1111%2fcsp2.138&amp;partnerID=40&amp;md5=1f2be6fb6b10c70f47498c71cea660e8</t>
  </si>
  <si>
    <t>&lt;p&gt;Export Date: 27 January 2025; Cited By: 30&lt;/p&gt; | RAYYAN-INCLUSION: {"Philip"=&gt;"Excluded", "Sarah"=&gt;"Included"}</t>
  </si>
  <si>
    <t>10.1111/csp2.138</t>
  </si>
  <si>
    <t>cognitive bias;decision tree;expert elicitation;nest success;predator control;reintroduction;value of information</t>
  </si>
  <si>
    <t>rayyan-153489035</t>
  </si>
  <si>
    <t>Ecological and socioeconomic impacts of invasive alien species in island ecosystems</t>
  </si>
  <si>
    <t>98-111</t>
  </si>
  <si>
    <t>Reaser, J.K. and Meyerson, L.A. and Cronk, Q. and De Poorter, M. and Eldrege, L.G. and Green, E. and Kairo, M. and Latasi, P. and Mack, R.N. and Mauremootoo, J. and O'Dowd, D. and Orapa, W. and Sastroutomo, S. and Saunders, A. and Shine, C. and Thrainsson, S. and Vaiutu, L.</t>
  </si>
  <si>
    <t>https://www.scopus.com/inward/record.uri?eid=2-s2.0-34447563794&amp;doi=10.1017%2fS0376892907003815&amp;partnerID=40&amp;md5=fd2aea9627ec38025432451bd398ce59</t>
  </si>
  <si>
    <t>&lt;p&gt;Export Date: 27 January 2025; Cited By: 295&lt;/p&gt; | RAYYAN-INCLUSION: {"Philip"=&gt;"Excluded"}</t>
  </si>
  <si>
    <t>10.1017/S0376892907003815</t>
  </si>
  <si>
    <t>biological invasion;Biological invasion;Biologists;decision making;ecological impact;Economic and social effects;ecosystem;Ecosystems;environmental change;environmental exploitation;environmental exposure;environmental factor;environmental impact;environmental impact assessment;Environmental impacts;evolutionary adaptation;extinction;health risk;Information analysis;Invasive alien species;invasive species;island;Island;Islands;literature review;medical information;policy making;population decline;Problem solving;Public policy;Research and development management;review;socioeconomic impact;Socioeconomic impacts;socioeconomics;species extinction</t>
  </si>
  <si>
    <t>rayyan-153489056</t>
  </si>
  <si>
    <t>Tapping into non-English-language science for the conservation of global biodiversity</t>
  </si>
  <si>
    <t>Amano, T. and Berdejo-Espinola, V. and Christie, A.P. and Willott, K. and Akasaka, M. and Baldi, A. and Berthinussen, A. and Bertolino, S. and Bladon, A.J. and Chen, M. and Choi, C.-Y. and Kharrat, M.B.D. and De Oliveira, L.G. and Farhat, P. and Golivets, M. and Aranzamendi, N.H. and Jantke, K. and Kajzer-Bonk, J. and Cisel Kemahli Aytekin, M. and Khorozyan, I. and Kito, K. and Konno, K. and Lin, D.-L. and Littlewood, N. and Liu, Y. and Liu, Y. and Loretto, M.-C. and Marconi, V. and Martin, P.A. and Morgan, W.H. and Narvaez-Gomez, J.P. and Negret, P.J. and Nourani, E. and Ochoa Quintero, J.M. and Ockendon, N. and Oh, R.R.Y. and Petrovan, S.O. and Piovezan-Borges, A.C. and Pollet, I.L. and Ramos, D.L. and Reboredo Segovia, A.L. and Nayelli Rivera-Villanueva, A. and Rocha, R. and Rouyer, M.-M. and Sainsbury, K.A. and Schuster, R. and Schwab, D. and Sekercioglu, C.H. and Seo, H.-M. and Shackelford, G. and Shinoda, Y. and Smith, R.K. and Tao, S.-D. and Tsai, M.-S. and Tyler, E.H.M. and Vajna, F. and Valdebenito, J.O. and Vozykova, S. and Waryszak, P. and Zamora-Gutierrez, V. and Zenni, R.D. and Zhou, W. and Sutherland, W.J.</t>
  </si>
  <si>
    <t>https://www.scopus.com/inward/record.uri?eid=2-s2.0-85116731430&amp;doi=10.1371%2fjournal.pbio.3001296&amp;partnerID=40&amp;md5=859ece93d29f327f6fb65220e42671ec</t>
  </si>
  <si>
    <t>&lt;p&gt;Export Date: 27 January 2025; Cited By: 128&lt;/p&gt; | RAYYAN-INCLUSION: {"Philip"=&gt;"Excluded", "Nibedita"=&gt;"Excluded"}</t>
  </si>
  <si>
    <t>10.1371/journal.pbio.3001296</t>
  </si>
  <si>
    <t>animal;Animals;article;biodiversity;Biodiversity;conservation biology;Conservation of Natural Resources;English (language);environmental protection;geography;Geography;grid cell;human;human cell;human experiment;language;Language;linguistics;publication;Publications;science;Science</t>
  </si>
  <si>
    <t>rayyan-153489149</t>
  </si>
  <si>
    <t>Enhancing the engagement of U.S. private foundations with conservation science</t>
  </si>
  <si>
    <t>1477-1484</t>
  </si>
  <si>
    <t>Zavaleta, E. and Miller, D.C. and Salafsky, N. and Fleishman, E. and Webster, M. and Gold, B. and Hulse, D. and Rowen, M. and Tabor, G. and Vanderryn, J.</t>
  </si>
  <si>
    <t>https://www.scopus.com/inward/record.uri?eid=2-s2.0-57449108347&amp;doi=10.1111%2fj.1523-1739.2008.01046.x&amp;partnerID=40&amp;md5=42a6a5c72e3859a807c0533edc42af34</t>
  </si>
  <si>
    <t>&lt;p&gt;Export Date: 27 January 2025; Cited By: 14&lt;/p&gt; | RAYYAN-INCLUSION: {"Alice"=&gt;"Included"}</t>
  </si>
  <si>
    <t>10.1111/j.1523-1739.2008.01046.x</t>
  </si>
  <si>
    <t>article;biodiversity;Biodiversity;Conservation donor;Conservation finance;Conservation funding;Conservation investment;Conservation of Natural Resources;conservation planning;Conservation science;Data Collection;economics;environmental economics;environmental protection;financial management;Foundations;Fund Raising;information processing;interdisciplinary communication;Interdisciplinary Communication;investment;methodology;non profit organization;Philanthropy;research;Research;statistics;strategic approach;United States</t>
  </si>
  <si>
    <t>rayyan-153489184</t>
  </si>
  <si>
    <t>Management of marine natural resources through by biodiversity informatics</t>
  </si>
  <si>
    <t>269-280</t>
  </si>
  <si>
    <t>Schalk, P.H.</t>
  </si>
  <si>
    <t>https://www.scopus.com/inward/record.uri?eid=2-s2.0-0032076789&amp;doi=10.1016%2fS0308-597X%2898%2900013-X&amp;partnerID=40&amp;md5=ba58f8144dba182c6fc7aba23b76ebe9</t>
  </si>
  <si>
    <t>10.1016/S0308-597X(98)00013-X</t>
  </si>
  <si>
    <t>biodiversity conservation;information technology;marine management;policy making</t>
  </si>
  <si>
    <t>rayyan-153489244</t>
  </si>
  <si>
    <t>Evidence-based conservation: Lessons from the Lower Mekong</t>
  </si>
  <si>
    <t>Evidence-Based Conservation: Lessons from the Lower Mekong</t>
  </si>
  <si>
    <t>Sunderland, T.C.H. and Sayer, J.A. and Hoang, M.-H.</t>
  </si>
  <si>
    <t>https://www.scopus.com/inward/record.uri?eid=2-s2.0-84920769346&amp;doi=10.4324%2f9780203128466&amp;partnerID=40&amp;md5=56840c8e147fcff341498db3d82b82f8</t>
  </si>
  <si>
    <t>&lt;p&gt;Export Date: 27 January 2025; Cited By: 20&lt;/p&gt; | RAYYAN-INCLUSION: {"Alec"=&gt;"Excluded"}</t>
  </si>
  <si>
    <t>rayyan-153489281</t>
  </si>
  <si>
    <t>Language barriers in global bird conservation</t>
  </si>
  <si>
    <t>Negret, P.J. and Atkinson, S.C. and Woodworth, B.K. and Tor, M.C. and Allan, J.R. and Fuller, R.A. and Amano, T.</t>
  </si>
  <si>
    <t>https://www.scopus.com/inward/record.uri?eid=2-s2.0-85128661046&amp;doi=10.1371%2fjournal.pone.0267151&amp;partnerID=40&amp;md5=92f6b4cbe7f3fae92dee204cada7242f</t>
  </si>
  <si>
    <t>10.1371/journal.pone.0267151</t>
  </si>
  <si>
    <t>animal;Animals;article;bird;Birds;Communication;communication barrier;Communication Barriers;Conservation of Natural Resources;Eastern Europe;environmental protection;human;human experiment;interpersonal communication;language;Language;migratory species;nonhuman;practice guideline;Russia;Russian Federation;western Asia</t>
  </si>
  <si>
    <t>rayyan-153489287</t>
  </si>
  <si>
    <t>Impact evaluation to communicate and improve conservation non-governmental organization performance: the case of conservation international</t>
  </si>
  <si>
    <t>McKinnon, M.C. and Mascia, M.B. and Yang, W. and Turner, W.R. and Bonham, C.</t>
  </si>
  <si>
    <t>https://www.scopus.com/inward/record.uri?eid=2-s2.0-84944081208&amp;doi=10.1098%2frstb.2014.0282&amp;partnerID=40&amp;md5=e30c9559c0482120e77d112668ca3ece</t>
  </si>
  <si>
    <t>&lt;p&gt;Export Date: 27 January 2025; Cited By: 33&lt;/p&gt; | RAYYAN-INCLUSION: {"Nibedita"=&gt;"Excluded", "Isobel"=&gt;"Excluded"}</t>
  </si>
  <si>
    <t>10.1098/rstb.2014.0282</t>
  </si>
  <si>
    <t>adaptive management;Adaptive management;animal;Animals;biodiversity;Biodiversity;Biodiversity conservation;Boundary science;communication;Communication;conservation management;Conservation of Natural Resources;ecosystem;Ecosystem;environmental impact assessment;environmental protection;evaluation study;Evidence-based conservation;Impact evaluation;innovation;International Agencies;international cooperation;international organization;interpersonal communication;management;Non-governmental organization;nongovernmental organization;organization;Organizations;performance assessment;Policy Making;procedures</t>
  </si>
  <si>
    <t>rayyan-153489335</t>
  </si>
  <si>
    <t>Introducing a practice perspective on monitoring for adaptive management</t>
  </si>
  <si>
    <t>387-405</t>
  </si>
  <si>
    <t>West, S. and Beilin, R. and Wagenaar, H.</t>
  </si>
  <si>
    <t>https://www.scopus.com/inward/record.uri?eid=2-s2.0-85083810828&amp;doi=10.1002%2fpan3.10033&amp;partnerID=40&amp;md5=5d612fcff818f553323bd8d1a9cf9df5</t>
  </si>
  <si>
    <t>&lt;p&gt;Export Date: 27 January 2025; Cited By: 17&lt;/p&gt; | RAYYAN-INCLUSION: {"Philip"=&gt;"Excluded", "Prishnee"=&gt;"Excluded"}</t>
  </si>
  <si>
    <t>10.1002/pan3.10033</t>
  </si>
  <si>
    <t>adaptive management;environmental monitoring;evidence-based conservation;practice theory;pragmatistÂ philosophy;relational thinking;science-policy interface;structured decision making</t>
  </si>
  <si>
    <t>rayyan-153489344</t>
  </si>
  <si>
    <t>Impacts of environmental literacy on ecological networks in the Three Gorges Reservoir, China</t>
  </si>
  <si>
    <t>Arif, M. and Changxiao, L.</t>
  </si>
  <si>
    <t>https://www.scopus.com/inward/record.uri?eid=2-s2.0-85140787079&amp;doi=10.1016%2fj.ecolind.2022.109571&amp;partnerID=40&amp;md5=d54c77b8d8f46377a319c1e194d25c7b</t>
  </si>
  <si>
    <t>10.1016/j.ecolind.2022.109571</t>
  </si>
  <si>
    <t>China;Correlation methods;Decision making;ecological impact;Ecological indicators;Ecological networks;Ecology;Ecosystem function;Ecosystem functions;Health indicators;knowledge;literacy;Multivariant analysis;Personnel;Pressure indicator;Pressure indicators;Rapid appraisal;Rapid appraisals;rapid rural appraisal;Reservoirs (water);Riparian health indicator;Riparian health indicators;riparian zone;Rivers;The yangtze river;The Yangtze River;Three Gorge reservoir;Three Gorges Reservoir</t>
  </si>
  <si>
    <t>rayyan-153489354</t>
  </si>
  <si>
    <t>Understanding and Overcoming the Barriers for Cost-effective Conservation</t>
  </si>
  <si>
    <t>139-144</t>
  </si>
  <si>
    <t>Grand, L. and Messer, K.D. and Allen, W.</t>
  </si>
  <si>
    <t>https://www.scopus.com/inward/record.uri?eid=2-s2.0-85016590606&amp;doi=10.1016%2fj.ecolecon.2017.03.027&amp;partnerID=40&amp;md5=681b22501806b5f803d8a1f6a52eb4a6</t>
  </si>
  <si>
    <t>&lt;p&gt;Export Date: 27 January 2025; Cited By: 11&lt;/p&gt; | RAYYAN-INCLUSION: {"Philip"=&gt;"Included"}</t>
  </si>
  <si>
    <t>10.1016/j.ecolecon.2017.03.027</t>
  </si>
  <si>
    <t>conservation management;conservation planning;Conservation planning;Conservation professionals;cost analysis;Cost-effective conservation;environmental policy;expert system;implementation process;incentive;optimization;Optimization;policy making;project design;Replication</t>
  </si>
  <si>
    <t>rayyan-153489356</t>
  </si>
  <si>
    <t>How Research-Prioritization Exercises Affect Conservation Policy</t>
  </si>
  <si>
    <t>860-866</t>
  </si>
  <si>
    <t>Rudd, M.A.</t>
  </si>
  <si>
    <t>https://www.scopus.com/inward/record.uri?eid=2-s2.0-80052582604&amp;doi=10.1111%2fj.1523-1739.2011.01712.x&amp;partnerID=40&amp;md5=e4316516c3592f7aa9406401f25a512a</t>
  </si>
  <si>
    <t>&lt;p&gt;Export Date: 27 January 2025; Cited By: 71&lt;/p&gt; | RAYYAN-INCLUSION: {"Matthew"=&gt;"Excluded"}</t>
  </si>
  <si>
    <t>10.1111/j.1523-1739.2011.01712.x</t>
  </si>
  <si>
    <t>100 preguntas;100 questions;article;best management practice;biodiversity;conceptual framework;Conservation of Natural Resources;conservation planning;environmental policy;environmental protection;Impacto de la investigaciÃ³n;legal aspect;methodology;policy;Policy issues;policy making;PolÃ­tica de la ciencia;prioritization;Public Policy;research;Research;Research impact;Research utilization;research work;Science policy;Temas polÃ­ticos;Uso de la investigaciÃ³n</t>
  </si>
  <si>
    <t>rayyan-153489361</t>
  </si>
  <si>
    <t>Assessment of USDA-NRCS rangeland conservation programs: Recommendation for an evidence-based conservation platform: Recommendation</t>
  </si>
  <si>
    <t>94-104</t>
  </si>
  <si>
    <t>Briske, D.D. and Bestelmeyer, B.T. and Brown, J.R. and Brunson, M.W. and Thurow, T.L. and Tanaka, J.A.</t>
  </si>
  <si>
    <t>https://www.scopus.com/inward/record.uri?eid=2-s2.0-85008349850&amp;doi=10.1002%2feap.1414&amp;partnerID=40&amp;md5=715edde4abad74ba5bf3217f485836cd</t>
  </si>
  <si>
    <t>&lt;p&gt;Export Date: 27 January 2025; Cited By: 33&lt;/p&gt; | RAYYAN-INCLUSION: {"Philip"=&gt;"Excluded"}</t>
  </si>
  <si>
    <t>10.1002/eap.1414</t>
  </si>
  <si>
    <t>agriculture;Agriculture;conservation management;Conservation of Natural Resources;cost-benefit analysis;ecosystem resilience;efficiency measurement;environmental management;environmental protection;government;knowledge;knowledge coproduction;landowner;monitoring;policy approach;policy-relevant science;procedures;rangeland;rangeland stewardship;resilience-based management;science-policy gap;standard (regulation);United States;United States Department of Agriculture</t>
  </si>
  <si>
    <t>rayyan-153489371</t>
  </si>
  <si>
    <t>Research on interdisciplinary integration and development of natural-social sciences for biodiversity conservation in China</t>
  </si>
  <si>
    <t>Shengtai Xuebao</t>
  </si>
  <si>
    <t>5459-5475</t>
  </si>
  <si>
    <t>Wang, W. and Zhai, D. and Liu, J.</t>
  </si>
  <si>
    <t>https://www.scopus.com/inward/record.uri?eid=2-s2.0-85198712110&amp;doi=10.20103%2fj.stxb.202305050931&amp;partnerID=40&amp;md5=575991e5e650d9e612ecfc46f8311de9</t>
  </si>
  <si>
    <t>10.20103/j.stxb.202305050931</t>
  </si>
  <si>
    <t>adaptive management;biodiversity;China;conservation management;conservation natural science;conservation planning;conservation social science;dichotomy;interdisciplinary approach;interdisciplinary integration;knowledge;management effectiveness</t>
  </si>
  <si>
    <t>rayyan-153489421</t>
  </si>
  <si>
    <t>New perspective on the recent challenges of regional environmental management plans under the background of deep-sea mining: from Northwest Pacific to global</t>
  </si>
  <si>
    <t>Zhou, W. and Li, T. and Qi, X.</t>
  </si>
  <si>
    <t>https://www.scopus.com/inward/record.uri?eid=2-s2.0-85204012696&amp;doi=10.3389%2ffmars.2024.1453760&amp;partnerID=40&amp;md5=8dbf2ecd98c37bbcaf4b3326c491376b</t>
  </si>
  <si>
    <t>10.3389/fmars.2024.1453760</t>
  </si>
  <si>
    <t>challenges;deep-sea mining;global;Northwest Pacific;REMP</t>
  </si>
  <si>
    <t>rayyan-153489474</t>
  </si>
  <si>
    <t>Assessing the Effectiveness of Coastal Marine Protected Area Management: Four Learned Lessons for Science Uptake and Upscaling</t>
  </si>
  <si>
    <t>Pelletier, D.</t>
  </si>
  <si>
    <t>https://www.scopus.com/inward/record.uri?eid=2-s2.0-85096646405&amp;doi=10.3389%2ffmars.2020.545930&amp;partnerID=40&amp;md5=7079cc0ecc06c0e2677534e8735c55f2</t>
  </si>
  <si>
    <t>&lt;p&gt;Export Date: 27 January 2025; Cited By: 10&lt;/p&gt; | RAYYAN-INCLUSION: {"Philip"=&gt;"Included"}</t>
  </si>
  <si>
    <t>10.3389/fmars.2020.545930</t>
  </si>
  <si>
    <t>coastal management;marine protected area;monitoring and assessment;MPA effectiveness;science uptake;social-ecological system;transdisciplinary</t>
  </si>
  <si>
    <t>rayyan-153489494</t>
  </si>
  <si>
    <t>The conservation research-practice gap: a case study of a threatened bird</t>
  </si>
  <si>
    <t>241-248</t>
  </si>
  <si>
    <t>PÃ©rez-Granados, C. and LÃ³pez-Iborra, G.M.</t>
  </si>
  <si>
    <t>https://www.scopus.com/inward/record.uri?eid=2-s2.0-85101694792&amp;doi=10.1017%2fS003060532000023X&amp;partnerID=40&amp;md5=107cd654c70bad36c3c48599aa298680</t>
  </si>
  <si>
    <t>&lt;p&gt;Export Date: 27 January 2025; Cited By: 2&lt;/p&gt; | RAYYAN-INCLUSION: {"Philip"=&gt;"Excluded", "Aidan"=&gt;"Included"}</t>
  </si>
  <si>
    <t>10.1017/S003060532000023X</t>
  </si>
  <si>
    <t>bird;Chersophilus duponti;conservation biology;conservation intervention;conservation management;conservation planning;Dupont's lark;endangered species;evidence-based conservation;extinction risk;managers;optimization;perception;science-practice divide;spatiotemporal analysis</t>
  </si>
  <si>
    <t>rayyan-153489501</t>
  </si>
  <si>
    <t>Practitioner perspectives on the application of palaeoecology in nature conservation</t>
  </si>
  <si>
    <t>Siggery, B. and Bennion, H. and Morse, S. and Murphy, R. and Waite, M.</t>
  </si>
  <si>
    <t>https://www.scopus.com/inward/record.uri?eid=2-s2.0-85177679049&amp;doi=10.3389%2ffevo.2023.1304510&amp;partnerID=40&amp;md5=03aaafe9b4641bdc81331c460e3a79bb</t>
  </si>
  <si>
    <t>10.3389/fevo.2023.1304510</t>
  </si>
  <si>
    <t>conservation;evidence based;knowledge exchange;palaeoecology;practitioner;research implementation gap</t>
  </si>
  <si>
    <t>rayyan-153489538</t>
  </si>
  <si>
    <t>Building a tool to overcome barriers in research-implementation spaces: The conservation evidence database</t>
  </si>
  <si>
    <t>Sutherland, W.J. and Taylor, N.G. and MacFarlane, D. and Amano, T. and Christie, A.P. and Dicks, L.V. and Lemasson, A.J. and Littlewood, N.A. and Martin, P.A. and Ockendon, N. and Petrovan, S.O. and Robertson, R.J. and Rocha, R. and Shackelford, G.E. and Smith, R.K. and Tyler, E.H.M. and Wordley, C.F.R.</t>
  </si>
  <si>
    <t>https://www.scopus.com/inward/record.uri?eid=2-s2.0-85070247922&amp;doi=10.1016%2fj.biocon.2019.108199&amp;partnerID=40&amp;md5=c801fc2685788277ab1a18e25396a93c</t>
  </si>
  <si>
    <t>&lt;p&gt;Export Date: 27 January 2025; Cited By: 109&lt;/p&gt; | RAYYAN-INCLUSION: {"Tabitha"=&gt;"Excluded"}</t>
  </si>
  <si>
    <t>10.1016/j.biocon.2019.108199</t>
  </si>
  <si>
    <t>biodiversity;conservation;database;Delphi analysis;Delphi technique;Evidence-based conservation;Evidence-based policy;Evidence-based practice;implementation process;policy approach;research;Research-implementation space;Subject-wide evidence synthesis</t>
  </si>
  <si>
    <t>rayyan-153489549</t>
  </si>
  <si>
    <t>Delivering behavioural change at scale: What conservation can learn from other fields</t>
  </si>
  <si>
    <t>Travers, H. and Walsh, J. and Vogt, S. and Clements, T. and Milner-Gulland, E.J.</t>
  </si>
  <si>
    <t>https://www.scopus.com/inward/record.uri?eid=2-s2.0-85104324352&amp;doi=10.1016%2fj.biocon.2021.109092&amp;partnerID=40&amp;md5=0d7dbbe33fb929177338d7accf226c73</t>
  </si>
  <si>
    <t>&lt;p&gt;Export Date: 27 January 2025; Cited By: 29&lt;/p&gt; | RAYYAN-INCLUSION: {"Philip"=&gt;"Excluded"}</t>
  </si>
  <si>
    <t>10.1016/j.biocon.2021.109092</t>
  </si>
  <si>
    <t>behavioral response;Behaviour change;Biodiversity conservation;conservation;development economics;Global biodiversity framework;human behavior;Scalable interventions;sustainable development</t>
  </si>
  <si>
    <t>rayyan-153489557</t>
  </si>
  <si>
    <t>Digital advocacy at the science-policy interface: Resolving land-use conflicts in conservation forests</t>
  </si>
  <si>
    <t>Pratiwi, S. and Juerges, N.</t>
  </si>
  <si>
    <t>https://www.scopus.com/inward/record.uri?eid=2-s2.0-85136516067&amp;doi=10.1016%2fj.landusepol.2022.106310&amp;partnerID=40&amp;md5=40fc8a69b4b4822c46cdf7fa89913431</t>
  </si>
  <si>
    <t>10.1016/j.landusepol.2022.106310</t>
  </si>
  <si>
    <t>Conservation forests;conservation management;Digital advocacy;forest management;Indonesia;Java;Kamojang Geothermal Field;land use conflict;land use planning;Land-use conflict;Science-policy interface;social media;Social media;West Java</t>
  </si>
  <si>
    <t>rayyan-153489628</t>
  </si>
  <si>
    <t>Aligning science and policy to achieve evolutionarily enlightened conservation</t>
  </si>
  <si>
    <t>501-512</t>
  </si>
  <si>
    <t>https://www.scopus.com/inward/record.uri?eid=2-s2.0-85013168142&amp;doi=10.1111%2fcobi.12863&amp;partnerID=40&amp;md5=3b9ee7a275b7384ca36de5ce757cc0c6</t>
  </si>
  <si>
    <t>&lt;p&gt;Export Date: 27 January 2025; Cited By: 58&lt;/p&gt; | RAYYAN-INCLUSION: {"Isobel"=&gt;"Excluded"}</t>
  </si>
  <si>
    <t>10.1111/cobi.12863</t>
  </si>
  <si>
    <t>adaptation;adaptive potential;applied science;Biological Evolution;conservation management;Conservation of Natural Resources;conservation policy;diversidad genÃ©tica;ecosystem resilience;environmental policy;Environmental Policy;environmental protection;evoluciÃ³n;evolution;evolutionary biology;evolutionary resilience;evolutionary theory;gene flow;genetic diversity;genetic management;genetic variation;human;Humans;integrated approach;management practice;manejo genÃ©tico;policy;Policy;policy approach;policy making;polÃ­tica de conservaciÃ³n;potencial adaptativo;resiliencia evolutiva;risk assessment;Risk Assessment</t>
  </si>
  <si>
    <t>rayyan-153489648</t>
  </si>
  <si>
    <t>Utilizing science in advancing marine ecosystem-based management</t>
  </si>
  <si>
    <t>Bermas-Atrigenio, N.A. and Chua, T.-E.</t>
  </si>
  <si>
    <t>https://www.scopus.com/inward/record.uri?eid=2-s2.0-84879500270&amp;doi=10.1016%2fj.ocecoaman.2012.12.003&amp;partnerID=40&amp;md5=3d25c9853b4ddcc16175407dbd5e3d0b</t>
  </si>
  <si>
    <t>10.1016/j.ocecoaman.2012.12.003</t>
  </si>
  <si>
    <t>Aquaculture;China;coastal zone management;Design and implementations;ecosystem function;Ecosystem functioning;ecosystem management;Ecosystem-based management;Ecosystems;Functional integration;information and communication technology;innovation;Innovative approaches;integrated approach;Integrated coastal management;Japan;management practice;marine ecosystem;Oceanography;science and technology;Scientific information;Spatial and temporal scale</t>
  </si>
  <si>
    <t>rayyan-153489651</t>
  </si>
  <si>
    <t>Calling for a new agenda for conservation science to create evidence-informed policy</t>
  </si>
  <si>
    <t>Rose, D.C. and Amano, T. and GonzÃ¡lez-Varo, J.P. and Mukherjee, N. and Robertson, R.J. and Simmons, B.I. and Wauchope, H.S. and Sutherland, W.J.</t>
  </si>
  <si>
    <t>https://www.scopus.com/inward/record.uri?eid=2-s2.0-85071971303&amp;doi=10.1016%2fj.biocon.2019.108222&amp;partnerID=40&amp;md5=da152947011de470a7dc43c598dcc233</t>
  </si>
  <si>
    <t>&lt;p&gt;Export Date: 27 January 2025; Cited By: 42&lt;/p&gt; | RAYYAN-INCLUSION: {"Tabitha"=&gt;"Excluded"}</t>
  </si>
  <si>
    <t>10.1016/j.biocon.2019.108222</t>
  </si>
  <si>
    <t>communication;complexity;conservation planning;Coproduction;Evidence-based policy;Evidence-informed policy;identification method;local participation;policy implementation;research work;Science communication;Science-policy</t>
  </si>
  <si>
    <t>rayyan-153489659</t>
  </si>
  <si>
    <t>The essential elements of science and management in coastal environmental managements</t>
  </si>
  <si>
    <t>Hydrobiologia</t>
  </si>
  <si>
    <t>159-166</t>
  </si>
  <si>
    <t>Chua, T.-E.</t>
  </si>
  <si>
    <t>https://www.scopus.com/inward/record.uri?eid=2-s2.0-0030732733&amp;partnerID=40&amp;md5=dcc0b981578c6be6c725e3e517c15eff</t>
  </si>
  <si>
    <t>&lt;p&gt;Export Date: 27 January 2025; Cited By: 13&lt;/p&gt; | RAYYAN-INCLUSION: {"Iris"=&gt;"Excluded"}</t>
  </si>
  <si>
    <t>coastal barrier;coastal zone management;environmental management;environmental policy;Integrated coastal management;Science and management;scientific information</t>
  </si>
  <si>
    <t>rayyan-153489678</t>
  </si>
  <si>
    <t>Can citizen science contribute to the evidence-base that underpins marine policy?</t>
  </si>
  <si>
    <t>112-120</t>
  </si>
  <si>
    <t>Hyder, K. and Townhill, B. and Anderson, L.G. and Delany, J. and Pinnegar, J.K.</t>
  </si>
  <si>
    <t>https://www.scopus.com/inward/record.uri?eid=2-s2.0-84931260783&amp;doi=10.1016%2fj.marpol.2015.04.022&amp;partnerID=40&amp;md5=310018be70712ca22ff4743549f5cf8a</t>
  </si>
  <si>
    <t>&lt;p&gt;Export Date: 27 January 2025; Cited By: 115&lt;/p&gt; | RAYYAN-INCLUSION: {"Sarah"=&gt;"Excluded"}</t>
  </si>
  <si>
    <t>10.1016/j.marpol.2015.04.022</t>
  </si>
  <si>
    <t>Citizen science;data set;Marine evidence;marine policy;Marine policy;policy making;research method</t>
  </si>
  <si>
    <t>rayyan-153489693</t>
  </si>
  <si>
    <t>Missing the trees for the wood: Why we are failing to see success in pro-poor conservation</t>
  </si>
  <si>
    <t>Animal Conservation</t>
  </si>
  <si>
    <t>303-312</t>
  </si>
  <si>
    <t>Davies, T.E. and Fazey, I.R.A. and Cresswell, W. and Pettorelli, N.</t>
  </si>
  <si>
    <t>https://www.scopus.com/inward/record.uri?eid=2-s2.0-84904964408&amp;doi=10.1111%2facv.12094&amp;partnerID=40&amp;md5=c0efbfc0d3253a36d7db8c55e5477ad4</t>
  </si>
  <si>
    <t>&lt;p&gt;Export Date: 27 January 2025; Cited By: 29&lt;/p&gt; | RAYYAN-INCLUSION: {"Alice"=&gt;"Excluded"}</t>
  </si>
  <si>
    <t>10.1111/acv.12094</t>
  </si>
  <si>
    <t>adaptive management;Adaptive management;biodiversity;Biodiversity;conservation management;environmental monitoring;Interdisciplinary;interdisciplinary approach;Monitoring;Poverty;poverty alleviation;Success;tree;wood</t>
  </si>
  <si>
    <t>rayyan-153489702</t>
  </si>
  <si>
    <t>Funding and delivering the routine testing of management interventions to improve conservation effectiveness</t>
  </si>
  <si>
    <t>Tinsley-Marshall, P. and Downey, H. and Adum, G. and Al-Fulaij, N. and Bourn, N.A.D. and Brotherton, P.N.M. and Frick, W.F. and Hancock, M.H. and Hellon, J. and Hudson, M.A. and Kortland, K. and Mastro, K. and McNicol, C.M. and McPherson, T. and Mickleburgh, S. and Moss, J.F. and Nichols, C.P. and O'Brien, D. and Ockendon, N. and Paterson, S. and Parks, D. and Pimm, S.L. and Schofield, H. and Simkins, A.T. and Watuwa, J. and Wormald, K. and Wilkinson, J. and Wilson, J.D. and Sutherland, W.J.</t>
  </si>
  <si>
    <t>https://www.scopus.com/inward/record.uri?eid=2-s2.0-85127497769&amp;doi=10.1016%2fj.jnc.2022.126184&amp;partnerID=40&amp;md5=0d81f59618aec9c051377f3e274e7884</t>
  </si>
  <si>
    <t>&lt;p&gt;Export Date: 27 January 2025; Cited By: 8&lt;/p&gt; | RAYYAN-INCLUSION: {"Matthew"=&gt;"Excluded", "Elina"=&gt;"Excluded"}</t>
  </si>
  <si>
    <t>10.1016/j.jnc.2022.126184</t>
  </si>
  <si>
    <t>conservation;Conservation;Evidence-based practice;Experimental manipulation;Funding;management;Testing interventions;testing method;underpinning</t>
  </si>
  <si>
    <t>rayyan-153489714</t>
  </si>
  <si>
    <t>Making the leap from science to implementation: Strategic agricultural conservation in Michigan's Saginaw Bay watershed</t>
  </si>
  <si>
    <t>1372-1385</t>
  </si>
  <si>
    <t>Fales, M. and Dell, R. and Herbert, M.E. and Sowa, S.P. and Asher, J. and O'Neil, G. and Doran, P.J. and Wickerham, B.</t>
  </si>
  <si>
    <t>https://www.scopus.com/inward/record.uri?eid=2-s2.0-85007072440&amp;doi=10.1016%2fj.jglr.2016.09.010&amp;partnerID=40&amp;md5=13ab09dde9a3f723ebbc98fac8588c1e</t>
  </si>
  <si>
    <t>&lt;p&gt;Export Date: 27 January 2025; Cited By: 33&lt;/p&gt; | RAYYAN-INCLUSION: {"Isobel"=&gt;"Excluded"}</t>
  </si>
  <si>
    <t>10.1016/j.jglr.2016.09.010</t>
  </si>
  <si>
    <t>adaptive management;Agricultural conservation;agricultural management;Agriculture;Application programs;Bay watersheds;Conservation;conservation status;Ecology;fish;Fish;Fish communities;Fish community;Forestry;Great lakes;Great Lakes;Great Lakes [North America];Lakes;landowner;local participation;Michigan;nonpoint source pollution;Partnership programs;Regional conservation partnership program;regional planning;Saginaw Bay;Saginaw Bay watershed;science and technology;United States;water quality;Water quality;watershed;Watersheds</t>
  </si>
  <si>
    <t>rayyan-153489731</t>
  </si>
  <si>
    <t>Achieving Cross-Scale Collaboration for Large Scale Conservation Initiatives</t>
  </si>
  <si>
    <t>107-117</t>
  </si>
  <si>
    <t>Guerrero, A.M. and Mcallister, R.R.J. and Wilson, K.A.</t>
  </si>
  <si>
    <t>https://www.scopus.com/inward/record.uri?eid=2-s2.0-84921528607&amp;doi=10.1111%2fconl.12112&amp;partnerID=40&amp;md5=d61eb02eb37da0545e522b9d67248d73</t>
  </si>
  <si>
    <t>&lt;p&gt;Export Date: 27 January 2025; Cited By: 104&lt;/p&gt; | RAYYAN-INCLUSION: {"Alec"=&gt;"Excluded"}</t>
  </si>
  <si>
    <t>10.1111/conl.12112</t>
  </si>
  <si>
    <t>Animalia;Collaborative conservation;Conservation networks;Exponential random graph model;Invasive species management;Revegetation;Scale;Social networks</t>
  </si>
  <si>
    <t>rayyan-153489739</t>
  </si>
  <si>
    <t>A proposed ecosystem-based management system for marine waters: Linking the theory of environmental policy to the practice of environmental management</t>
  </si>
  <si>
    <t>SardÃ , R. and O'higgins, T. and Cormier, R. and Diedrich, A. and TintorÃ©, J.</t>
  </si>
  <si>
    <t>https://www.scopus.com/inward/record.uri?eid=2-s2.0-84923591141&amp;doi=10.5751%2fES-07055-190451&amp;partnerID=40&amp;md5=43fe5bb98398237929dd18c723c11178</t>
  </si>
  <si>
    <t>&lt;p&gt;Export Date: 27 January 2025; Cited By: 53&lt;/p&gt; | RAYYAN-INCLUSION: {"Matthew"=&gt;"Excluded"}</t>
  </si>
  <si>
    <t>10.5751/ES-07055-190451</t>
  </si>
  <si>
    <t>coastal zone management;ecosystem approach;Ecosystem approach;Ecosystem goods and services;ecosystem management;ecosystem service;Ecosystem-based management;environmental management;Environmental management;environmental policy;marine ecosystem;Marine ecosystems;marine environment;Marine environment;Marine management strategy;marine policy;Oceans policy;policy development</t>
  </si>
  <si>
    <t>rayyan-153489741</t>
  </si>
  <si>
    <t>The contribution of scientific research to conservation planning</t>
  </si>
  <si>
    <t>82-96</t>
  </si>
  <si>
    <t>Mair, L. and Mill, A.C. and Robertson, P.A. and Rushton, S.P. and Shirley, M.D.F. and Rodriguez, J.P. and McGowan, P.J.K.</t>
  </si>
  <si>
    <t>https://www.scopus.com/inward/record.uri?eid=2-s2.0-85046699882&amp;doi=10.1016%2fj.biocon.2018.04.037&amp;partnerID=40&amp;md5=8254c078569412829fe44115fae1a373</t>
  </si>
  <si>
    <t>10.1016/j.biocon.2018.04.037</t>
  </si>
  <si>
    <t>action plan;biodiversity;conservation planning;Conservation prioritisation;conservation status;ecological modeling;interdisciplinary approach;literature review;Literature review;prioritization;Research-implementation gap;resource allocation;Topic modelling;Transdisciplinary research</t>
  </si>
  <si>
    <t>rayyan-153489779</t>
  </si>
  <si>
    <t>Poor understanding of evolutionary theory is a barrier to effective conservation management</t>
  </si>
  <si>
    <t>https://www.scopus.com/inward/record.uri?eid=2-s2.0-85058233200&amp;doi=10.1111%2fconl.12619&amp;partnerID=40&amp;md5=ab0cf8b348e182f4739691a7c07cd254</t>
  </si>
  <si>
    <t>10.1111/conl.12619</t>
  </si>
  <si>
    <t>evidence-base conservation;evolutionarily enlightened management;gene flow;genetic management;inbreeding depression;life history strategy;mating systems;outbreeding depression</t>
  </si>
  <si>
    <t>rayyan-153489787</t>
  </si>
  <si>
    <t>The research-implementation gap: How practitioners and researchers from developing countries perceive the role of peer-reviewed literature in conservation science</t>
  </si>
  <si>
    <t>80-87</t>
  </si>
  <si>
    <t>Gossa, C. and Fisher, M. and Milner-Gulland, E.J.</t>
  </si>
  <si>
    <t>https://www.scopus.com/inward/record.uri?eid=2-s2.0-84920115609&amp;doi=10.1017%2fS0030605313001634&amp;partnerID=40&amp;md5=03710434ac0941d568d46858fe2264c2</t>
  </si>
  <si>
    <t>&lt;p&gt;Export Date: 27 January 2025; Cited By: 58&lt;/p&gt; | RAYYAN-INCLUSION: {"Carlos"=&gt;"Included"}</t>
  </si>
  <si>
    <t>10.1017/S0030605313001634</t>
  </si>
  <si>
    <t>Collaboration;developing countries;Impact Factor;information;open access;scientific publication</t>
  </si>
  <si>
    <t>rayyan-153489956</t>
  </si>
  <si>
    <t>Studies of the movement ecology of sharks justify the existence and expansion of marine protected areas in the Eastern Pacific Ocean</t>
  </si>
  <si>
    <t>2133-2153</t>
  </si>
  <si>
    <t>Klimley, A.P. and Arauz, R. and Bessudo, S. and ChÃ¡vez, E.J. and Chinacalle, N. and Espinoza, E. and Green, J. and Hearn, A.R. and Hoyos-Padilla, M.E. and Nalesso, E. and Ketchum, J.T. and Fischer, C. and Ladino, F. and Shillinger, G. and Soler, G. and Steiner, T. and PeÃ±aherreraâ€‘Palma, C.</t>
  </si>
  <si>
    <t>https://www.scopus.com/inward/record.uri?eid=2-s2.0-85123122243&amp;doi=10.1007%2fs10641-021-01204-6&amp;partnerID=40&amp;md5=7db383e8782582a13209e3e32f028b36</t>
  </si>
  <si>
    <t>&lt;p&gt;Export Date: 27 January 2025; Cited By: 14&lt;/p&gt; | RAYYAN-INCLUSION: {"Isobel"=&gt;"Excluded"}</t>
  </si>
  <si>
    <t>10.1007/s10641-021-01204-6</t>
  </si>
  <si>
    <t>Marine megafauna;Marine reserves;Movement ecology;Sharks;Telemetry</t>
  </si>
  <si>
    <t>rayyan-153489987</t>
  </si>
  <si>
    <t>Improving biodiversity monitoring</t>
  </si>
  <si>
    <t>285-294</t>
  </si>
  <si>
    <t>Lindenmayer, D.B. and Gibbons, P. and Bourke, M. and Burgman, M. and Dickman, C.R. and Ferrier, S. and Fitzsimons, J. and Freudenberger, D. and Garnett, S.T. and Groves, C. and Hobbs, R.J. and Kingsford, R.T. and Krebs, C. and Legge, S. and Lowe, A.J. and Mclean, R. and Montambault, J. and Possingham, H. and Radford, J. and Robinson, D. and Smallbone, L. and Thomas, D. and Varcoe, T. and Vardon, M. and Wardle, G. and Woinarski, J. and Zerger, A.</t>
  </si>
  <si>
    <t>https://www.scopus.com/inward/record.uri?eid=2-s2.0-84860229264&amp;doi=10.1111%2fj.1442-9993.2011.02314.x&amp;partnerID=40&amp;md5=2039c5ed6f501f35105d5380e1966120</t>
  </si>
  <si>
    <t>&lt;p&gt;Export Date: 27 January 2025; Cited By: 152&lt;/p&gt; | RAYYAN-INCLUSION: {"Aidan"=&gt;"Excluded"}</t>
  </si>
  <si>
    <t>10.1111/j.1442-9993.2011.02314.x</t>
  </si>
  <si>
    <t>Australia;biodiversity;Biodiversity;Conservation effectiveness;conservation management;environmental monitoring;implementation process;Management intervention;Monitoring;National Biodiversity Strategy;resource availability;resource management</t>
  </si>
  <si>
    <t>rayyan-153490028</t>
  </si>
  <si>
    <t>Evidence-based alignment of conservation policies with remote sensing-enabled essential biodiversity variables</t>
  </si>
  <si>
    <t>Lock, M.C. and Skidmore, A.K. and van Duren, I. and MÃ¼cher, C.A.</t>
  </si>
  <si>
    <t>https://www.scopus.com/inward/record.uri?eid=2-s2.0-85116523828&amp;doi=10.1016%2fj.ecolind.2021.108272&amp;partnerID=40&amp;md5=85c8e5d3b8ae6015bb4bb608042e55c0</t>
  </si>
  <si>
    <t>&lt;p&gt;Export Date: 27 January 2025; Cited By: 6&lt;/p&gt; | RAYYAN-INCLUSION: {"Philip"=&gt;"Excluded", "Nibedita"=&gt;"Excluded"}</t>
  </si>
  <si>
    <t>10.1016/j.ecolind.2021.108272</t>
  </si>
  <si>
    <t>biodiversity;Biodiversity;Biodiversity monitoring;Conservation;Conservation policies;Conservation policy;Ecological indicators;Ecosystem functioning;Ecosystem structure;Ecosystems;Essential biodiversity variable;Essential biodiversity variables;Evidence-based;information;Information products;management;Monitoring;nature conservation;policy development;Policy indicators;remote sensing;Remote sensing;Remote-sensing</t>
  </si>
  <si>
    <t>rayyan-153490042</t>
  </si>
  <si>
    <t>Achieving integration in marine governance through marine spatial planning: Findings from practice in the United States</t>
  </si>
  <si>
    <t>197-207</t>
  </si>
  <si>
    <t>Smythe, T.C. and McCann, J.</t>
  </si>
  <si>
    <t>https://www.scopus.com/inward/record.uri?eid=2-s2.0-85055593562&amp;doi=10.1016%2fj.ocecoaman.2018.10.006&amp;partnerID=40&amp;md5=35e2a8be5fc2005b6fb04e3f4b049892</t>
  </si>
  <si>
    <t>10.1016/j.ocecoaman.2018.10.006</t>
  </si>
  <si>
    <t>California;Case-studies;Empirical research;environmental planning;governance approach;Institutional arrangement;Integration;Integration elements;intergovernmental relations;knowledge based system;Knowledge integration;marine environment;Marine Spatial Planning;Oceanography;Regulatory structure;Rhode Island;San Francisco;San Francisco [California];spatial planning;stakeholder;United States;Washington County [Rhode Island]</t>
  </si>
  <si>
    <t>rayyan-153490171</t>
  </si>
  <si>
    <t>Science-based management of public lands in Southern Nevada</t>
  </si>
  <si>
    <t>USDA Forest Service - General Technical Report RMRS-GTR</t>
  </si>
  <si>
    <t>71-79</t>
  </si>
  <si>
    <t>Brooks, M.L. and Chambers, J.C.</t>
  </si>
  <si>
    <t>https://www.scopus.com/inward/record.uri?eid=2-s2.0-84882286489&amp;partnerID=40&amp;md5=beea0618cc006bcb148d6aaedf622b34</t>
  </si>
  <si>
    <t>adaptive management;information management;land management;land use planning;management practice;Nevada;recreational management;uncertainty analysis;United States</t>
  </si>
  <si>
    <t>rayyan-153490220</t>
  </si>
  <si>
    <t>The ADnet Bayesian belief network for alder decline: Integrating empirical data and expert knowledge</t>
  </si>
  <si>
    <t>Gomes Marques, I. and Vieites-Blanco, C. and RodrÃ­guez-GonzÃ¡lez, P.M. and Segurado, P. and Marques, M. and Barrento, M.J. and Fernandes, M.R. and Cupertino, A. and Almeida, H. and Biurrun, I. and Corcobado, T. and Costa e Silva, F. and DÃ­ez, J.J. and Dufour, S. and Faria, C. and Ferreira, M.T. and Ferreira, V. and Jansson, R. and Machado, H. and MarÃ§ais, B. and Moreira, A.C. and Oliva, J. and Pielech, R. and Rodrigues, A.P. and David, T.S. and Solla, A. and Jung, T.</t>
  </si>
  <si>
    <t>https://www.scopus.com/inward/record.uri?eid=2-s2.0-85198028751&amp;doi=10.1016%2fj.scitotenv.2024.173619&amp;partnerID=40&amp;md5=6a5597b92703ba49d2a68f3a5242ca4e</t>
  </si>
  <si>
    <t>&lt;p&gt;Export Date: 27 January 2025; Cited By: 2&lt;/p&gt; | RAYYAN-INCLUSION: {"Philip"=&gt;"Excluded"}</t>
  </si>
  <si>
    <t>10.1016/j.scitotenv.2024.173619</t>
  </si>
  <si>
    <t>alder;algal bloom;Alnu;Alnus;aquatic environment;area under the curve;Article;Bayes theorem;Bayes Theorem;Bayesian analysis;Bayesian network;Bayesian networks;biogeography;chlorophyll fluorescence;computer model;Conservation of Natural Resources;data;Decision making;decision support system;Decision support systems;Decision support tool;Decision supports;deterioration;Disease control;disease severity;ecosystem;Ecosystem;Ecosystems;emotionality;empirical research;environmental protection;epidemic;epidemiology;Europe;Expert knowledge;Floods;forest;Forestry;Forests;genetic variability;geographic distribution;health care organization;health care policy;humidity;integrated pest management;Integrated pest management;Integrated pest management (IPM);knowledge;Knowledge management;linear regression analysis;metastasis;microbiology;nonhuman;North Africa;pathogen;Pathogens;Phytophthora;Phytophthora Ã—alni;plant disease;Plant Diseases;plant gene;plant genetics;Riparian ecosystem;Riparian ecosystems;riparian forest;scientific literature;sensitivity analysis;soil texture;statistical model;Support tool;survival rate;Uncertainty analysis;waterlogging;work environment</t>
  </si>
  <si>
    <t>rayyan-153490283</t>
  </si>
  <si>
    <t>Decision triggers are a critical part of evidence-based conservation</t>
  </si>
  <si>
    <t>46-51</t>
  </si>
  <si>
    <t>Cook, C.N. and de Bie, K. and Keith, D.A. and Addison, P.F.E.</t>
  </si>
  <si>
    <t>https://www.scopus.com/inward/record.uri?eid=2-s2.0-84953455889&amp;doi=10.1016%2fj.biocon.2015.12.024&amp;partnerID=40&amp;md5=13a0845a7b207beb6e2f5ef34ba0a45c</t>
  </si>
  <si>
    <t>&lt;p&gt;Export Date: 27 January 2025; Cited By: 51&lt;/p&gt; | RAYYAN-INCLUSION: {"Tabitha"=&gt;"Excluded"}</t>
  </si>
  <si>
    <t>10.1016/j.biocon.2015.12.024</t>
  </si>
  <si>
    <t>rayyan-153490292</t>
  </si>
  <si>
    <t>Do biodiversity-ecosystem functioning experiments inform stakeholders how to simultaneously conserve biodiversity and increase ecosystem service provisioning in grasslands?</t>
  </si>
  <si>
    <t>Klaus, V.H. and Whittingham, M.J. and BÃ¡ldi, A. and Eggers, S. and Francksen, R.M. and Hiron, M. and Lellei-KovÃ¡cs, E. and Rhymer, C.M. and Buchmann, N.</t>
  </si>
  <si>
    <t>https://www.scopus.com/inward/record.uri?eid=2-s2.0-85082701307&amp;doi=10.1016%2fj.biocon.2020.108552&amp;partnerID=40&amp;md5=6d1be169142c5c6c28a655ed62415ac7</t>
  </si>
  <si>
    <t>&lt;p&gt;Export Date: 27 January 2025; Cited By: 31&lt;/p&gt; | RAYYAN-INCLUSION: {"Philip"=&gt;"Excluded"}</t>
  </si>
  <si>
    <t>10.1016/j.biocon.2020.108552</t>
  </si>
  <si>
    <t>BEF research;biodiversity;Biodiversity crisis;ecosystem function;ecosystem service;Ecosystem services;grassland;knowledge;Knowledge generation;literature review;nature conservation;Plant species richness;Real-world grassland management;saturation;science and technology;species richness;stakeholder</t>
  </si>
  <si>
    <t>rayyan-153490371</t>
  </si>
  <si>
    <t>Evolution of models to support community and policy action with science: Balancing pastoral livelihoods and wildlife conservation in savannas of East Africa</t>
  </si>
  <si>
    <t>4579-4584</t>
  </si>
  <si>
    <t>Reid, R.S. and Nkedianye, D. and Said, M.Y. and Kaelo, D. and Neselle, M. and Makui, O. and Onetu, L. and Kiruswa, S. and Ole Kamuaro, N. and Kristjanson, P. and Ogutu, J. and BurnSilver, S.B. and Goldman, M.J. and Boone, R.B. and Galvin, K.A. and Dickson, N.M. and Clark, W.C.</t>
  </si>
  <si>
    <t>https://www.scopus.com/inward/record.uri?eid=2-s2.0-84964797859&amp;doi=10.1073%2fpnas.0900313106&amp;partnerID=40&amp;md5=f74135a582ed101b21a924cd44aca2a1</t>
  </si>
  <si>
    <t>&lt;p&gt;Export Date: 27 January 2025; Cited By: 138&lt;/p&gt; | RAYYAN-INCLUSION: {"Nibedita"=&gt;"Included", "Isobel"=&gt;"Included"}</t>
  </si>
  <si>
    <t>10.1073/pnas.0900313106</t>
  </si>
  <si>
    <t>Africa;Africa, Eastern;agriculture;Agriculture;animal;Animals;Animals, Wild;Article;biodiversity;community;Conservation of Natural Resources;continual engagement model;cooperation;Cooperative Behavior;demography;ecosystem;environmental protection;evolution;grassland;Grassland;herd;human;Humans;Kenya;land use;management;model;Models, Theoretical;nonhuman;Outreach;personnel;policy;Policy Making;Power;priority journal;Research Personnel;Residence Characteristics;savanna;science;Tanzania;theoretical model;Trust;wild animal;wildlife conservation</t>
  </si>
  <si>
    <t>rayyan-153490404</t>
  </si>
  <si>
    <t>Challenges and opportunities when studying movement ecology in science and practical conservation</t>
  </si>
  <si>
    <t>Basic and Applied Ecology</t>
  </si>
  <si>
    <t>59-65</t>
  </si>
  <si>
    <t>Fischer, C.</t>
  </si>
  <si>
    <t>https://www.scopus.com/inward/record.uri?eid=2-s2.0-85207864511&amp;doi=10.1016%2fj.baae.2024.10.006&amp;partnerID=40&amp;md5=c4a19797126a8d6f82d16574570e7d94</t>
  </si>
  <si>
    <t>10.1016/j.baae.2024.10.006</t>
  </si>
  <si>
    <t>Animal movement;Applied conservation;Biologging;Evidence-based conservation;Movebank;Movement ecology framework;Radio tracking;Scale dependency;Telemetry;Wildlife management</t>
  </si>
  <si>
    <t>rayyan-153490435</t>
  </si>
  <si>
    <t>Understanding and evidencing a broader range of â€˜successesâ€™ that can occur at the interface of marine science and policy</t>
  </si>
  <si>
    <t>Cvitanovic, C. and Mackay, M. and Shellock, R.J. and van Putten, E.I. and Karcher, D.B. and Dickey-Collas, M.</t>
  </si>
  <si>
    <t>https://www.scopus.com/inward/record.uri?eid=2-s2.0-85115421178&amp;doi=10.1016%2fj.marpol.2021.104802&amp;partnerID=40&amp;md5=827a7d9f86684108d37e0f4ea89bab84</t>
  </si>
  <si>
    <t>&lt;p&gt;Export Date: 27 January 2025; Cited By: 25&lt;/p&gt; | RAYYAN-INCLUSION: {"Carlos"=&gt;"Included", "Elina"=&gt;"Included"}</t>
  </si>
  <si>
    <t>10.1016/j.marpol.2021.104802</t>
  </si>
  <si>
    <t>Barriers;Boundary organisation;Enablers;Evidence-informed;ICES;management;marine ecosystem;marine policy;organization;Research impact;research work;Science-policy;Transparency;Trust;Varanidae</t>
  </si>
  <si>
    <t>rayyan-153490619</t>
  </si>
  <si>
    <t>Applying assessments of adaptive capacity to inform natural-resource management in a changing climate</t>
  </si>
  <si>
    <t>Thurman, L.L. and Gross, J.E. and Mengelt, C. and Beever, E.A. and Thompson, L.M. and Schuurman, G.W. and Hoving, C.L. and Olden, J.D.</t>
  </si>
  <si>
    <t>https://www.scopus.com/inward/record.uri?eid=2-s2.0-85120356666&amp;doi=10.1111%2fcobi.13838&amp;partnerID=40&amp;md5=e356a57fe2dec813e736cab4ffb8ec15</t>
  </si>
  <si>
    <t>&lt;p&gt;Export Date: 27 January 2025; Cited By: 24&lt;/p&gt; | RAYYAN-INCLUSION: {"Aidan"=&gt;"Excluded"}</t>
  </si>
  <si>
    <t>10.1111/cobi.13838</t>
  </si>
  <si>
    <t>adaptaciÃ³n climÃ¡tica;adaptive capacity;adaptive management;cambio climÃ¡tico;capacidad adaptativa;climate adaptation;climate change;Climate Change;conservaciÃ³n;conservation;Conservation of Natural Resources;conservation planning;environmental protection;management;manejo;natural resource;Natural Resources;resilience;resiliencia;vulnerabilidad;vulnerability;ä¿æŠ¤;æ¢å¤åŠ›;æ°”å€™å˜åŒ–;æ°”å€™é€‚åº”;ç®¡ç†;è„†å¼±æ€§;é€‚åº”èƒ½åŠ›</t>
  </si>
  <si>
    <t>rayyan-153490668</t>
  </si>
  <si>
    <t>Principles for using evidence to improve biodiversity impact mitigation by business</t>
  </si>
  <si>
    <t>Business Strategy and the Environment</t>
  </si>
  <si>
    <t>4719-4733</t>
  </si>
  <si>
    <t>White, T.B. and Petrovan, S.O. and Bennun, L.A. and Butterworth, T. and Christie, A.P. and Downey, H. and Hunter, S.B. and Jobson, B.R. and zu Ermgassen, S.O.S.E. and Sutherland, W.J.</t>
  </si>
  <si>
    <t>https://www.scopus.com/inward/record.uri?eid=2-s2.0-85148618937&amp;doi=10.1002%2fbse.3389&amp;partnerID=40&amp;md5=8ee53b4aba0fb0b527fa351b1ec57510</t>
  </si>
  <si>
    <t>10.1002/bse.3389</t>
  </si>
  <si>
    <t>biodiversity;business development;conservation management;effectiveness;efficiency;environmental management;evidence-based biodiversity management;hierarchical system;mitigation hierarchy;private sector</t>
  </si>
  <si>
    <t>rayyan-153490886</t>
  </si>
  <si>
    <t>Mitigating impacts of roads on wildlife: an agenda for the conservation of priority European protected species in Great Britain</t>
  </si>
  <si>
    <t>European Journal of Wildlife Research</t>
  </si>
  <si>
    <t>199-211</t>
  </si>
  <si>
    <t>Ward, A.I. and Dendy, J. and Cowan, D.P.</t>
  </si>
  <si>
    <t>https://www.scopus.com/inward/record.uri?eid=2-s2.0-84925393650&amp;doi=10.1007%2fs10344-015-0901-0&amp;partnerID=40&amp;md5=183845b0b8cab0c2f3bad834392b478f</t>
  </si>
  <si>
    <t>&lt;p&gt;Export Date: 27 January 2025; Cited By: 18&lt;/p&gt; | RAYYAN-INCLUSION: {"Carlos"=&gt;"Excluded"}</t>
  </si>
  <si>
    <t>10.1007/s10344-015-0901-0</t>
  </si>
  <si>
    <t>Barrier effect;Bats;Conservation status;Great crested newt;Hazel dormouse;Mortality</t>
  </si>
  <si>
    <t>rayyan-153491048</t>
  </si>
  <si>
    <t>A critical review of environmental management of the 'not so Great' Barrier Reef</t>
  </si>
  <si>
    <t>Estuarine, Coastal and Shelf Science</t>
  </si>
  <si>
    <t>Brodie, J. and Waterhouse, J.</t>
  </si>
  <si>
    <t>https://www.scopus.com/inward/record.uri?eid=2-s2.0-84861456975&amp;doi=10.1016%2fj.ecss.2012.03.012&amp;partnerID=40&amp;md5=1ba333386f9cb53b889ae62a854ab4a8</t>
  </si>
  <si>
    <t>&lt;p&gt;Export Date: 27 January 2025; Cited By: 167&lt;/p&gt; | RAYYAN-INCLUSION: {"Philip"=&gt;"Excluded"}</t>
  </si>
  <si>
    <t>10.1016/j.ecss.2012.03.012</t>
  </si>
  <si>
    <t>Acanthaster planci;Anthozoa;Asteroidea;Australia;best management practice;climate change;Climate change;coral reef;Coral reef;critical analysis;echinoderm;environmental management;fishing;Great Barrier Reef Marine Park;Indonesia;Management evaluation;marine park;Marine park;Philippines;Pollution;Queensland;research work;seagrass;Seagrass;tourism management;trawling</t>
  </si>
  <si>
    <t>rayyan-153491103</t>
  </si>
  <si>
    <t>What challenges impede the adoption of agroforestry practices? A global perspective through a systematic literature review</t>
  </si>
  <si>
    <t>Agroforestry Systems</t>
  </si>
  <si>
    <t>1817-1837</t>
  </si>
  <si>
    <t>Tranchina, M. and Reubens, B. and Frey, M. and Mele, M. and Mantino, A.</t>
  </si>
  <si>
    <t>https://www.scopus.com/inward/record.uri?eid=2-s2.0-85191706371&amp;doi=10.1007%2fs10457-024-00993-w&amp;partnerID=40&amp;md5=cf605b1bd45a65083d52b7abf6e7ef6d</t>
  </si>
  <si>
    <t>10.1007/s10457-024-00993-w</t>
  </si>
  <si>
    <t>agroforestry;biodiversity;climate change;conservation management;conservation status;Economic;Farmers;global perspective;literature review;Multi-stakeholder;Participatory;Policy;Sustainable;Technical</t>
  </si>
  <si>
    <t>rayyan-153491400</t>
  </si>
  <si>
    <t>Incorporating social dimensions in planning, managing and evaluating environmental projects</t>
  </si>
  <si>
    <t>215-232</t>
  </si>
  <si>
    <t>Goggin, C.L. and Barrett, T. and Leys, J. and Summerell, G. and Gorrod, E. and Waters, S. and Littleboy, M. and Auld, T.D. and Drielsma, M.J. and Jenkins, B.R.</t>
  </si>
  <si>
    <t>https://www.scopus.com/inward/record.uri?eid=2-s2.0-85059917530&amp;doi=10.1007%2fs00267-018-01131-w&amp;partnerID=40&amp;md5=7d8560de04ceda757c75eccb81d89873</t>
  </si>
  <si>
    <t>&lt;p&gt;Export Date: 27 January 2025; Cited By: 7&lt;/p&gt; | RAYYAN-INCLUSION: {"Matthew"=&gt;"Included", "Elina"=&gt;"Included"}</t>
  </si>
  <si>
    <t>10.1007/s00267-018-01131-w</t>
  </si>
  <si>
    <t>article;Capability;conservation management;Conservation of Natural Resources;Environment;environmental conditions;Environmental management;environmental planning;environmental protection;human;interdisciplinary approach;interview;knowledge;Knowledge;Knowledge exchange;Knowledge management;manager;Managers;natural resource;Natural Resources;Natural resources management;physician;Practitioners;process model;project management;questionnaire survey;research work;resource management;Retrospective Studies;retrospective study;scientist;Scientists;Transdisciplinary</t>
  </si>
  <si>
    <t>rayyan-153491439</t>
  </si>
  <si>
    <t>Science and its role in Australian regional forest agreements</t>
  </si>
  <si>
    <t>International Forestry Review</t>
  </si>
  <si>
    <t>39-55</t>
  </si>
  <si>
    <t>Davey, S.M. and Hoare, J.R.L. and Rumba, K.E.</t>
  </si>
  <si>
    <t>https://www.scopus.com/inward/record.uri?eid=2-s2.0-0036233565&amp;partnerID=40&amp;md5=98ce76d8fc8bce6e62ccacf353a949be</t>
  </si>
  <si>
    <t>&lt;p&gt;Export Date: 27 January 2025; Cited By: 11&lt;/p&gt; | RAYYAN-INCLUSION: {"Alice"=&gt;"Excluded"}</t>
  </si>
  <si>
    <t>Australia;forest management;Forest science-policy;forestry policy;Management systems;Regional forest agreement;Scientific stakeholders;Sustainable forest management;sustainable forestry;timber industry</t>
  </si>
  <si>
    <t>rayyan-153491591</t>
  </si>
  <si>
    <t>The formation of large-scale collaborative resource management institutions: Clarifying the roles of stakeholders, science, and institutions</t>
  </si>
  <si>
    <t>Policy Studies Journal</t>
  </si>
  <si>
    <t>583-612</t>
  </si>
  <si>
    <t>Heikkila, T. and Gerlak, A.K.</t>
  </si>
  <si>
    <t>https://www.scopus.com/inward/record.uri?eid=2-s2.0-28244478571&amp;doi=10.1111%2fj.1541-0072.2005.00134.x&amp;partnerID=40&amp;md5=8485d189e8ede7228aa180851e085184</t>
  </si>
  <si>
    <t>&lt;p&gt;Export Date: 27 January 2025; Cited By: 203&lt;/p&gt; | RAYYAN-INCLUSION: {"Matthew"=&gt;"Excluded", "Elina"=&gt;"Excluded"}</t>
  </si>
  <si>
    <t>10.1111/j.1541-0072.2005.00134.x</t>
  </si>
  <si>
    <t>CALFED Bay-Delta Program;Chesapeake Bay Program;Collaborative environmental governance;Comprehensive Everglades Restoration Plan;Institutional change;institutional framework;North America;Northwest Power and Conservation Council;Policy entrepreneurs;regional planning;resource management;Scientific information;stakeholder;United States</t>
  </si>
  <si>
    <t>rayyan-153491628</t>
  </si>
  <si>
    <t>Benefits and barriers for researcher-practitioner collaboration on marine and coastal management issues</t>
  </si>
  <si>
    <t>Yates, K.L. and Copping, J.P. and Tweddle, J.F. and O'Leary, B.C.</t>
  </si>
  <si>
    <t>https://www.scopus.com/inward/record.uri?eid=2-s2.0-85187240478&amp;doi=10.1016%2fj.envsci.2024.103713&amp;partnerID=40&amp;md5=553555427261d47b795905810329f3c5</t>
  </si>
  <si>
    <t>10.1016/j.envsci.2024.103713</t>
  </si>
  <si>
    <t>academia;Actionable science;adult;applied science;article;Boundary spanning;career;coastal zone management;expert system;human;Institutional barriers;investment;knowledge;Knowledge exchange;marine policy;pattern recognition;perception;physician;policy development;public attitude;research work;Science impact;Science-policy interface;time pressure;United Kingdom</t>
  </si>
  <si>
    <t>rayyan-153491647</t>
  </si>
  <si>
    <t>What is the impact of active management on biodiversity in boreal and temperate forests set aside for conservation or restoration? A systematic map</t>
  </si>
  <si>
    <t>Bernes, C. and Jonsson, B.U. and Junninen, K. and LÃµhmus, A. and Macdonald, E. and MÃ¼ller, J. and SandstrÃ¶m, J.</t>
  </si>
  <si>
    <t>https://www.scopus.com/inward/record.uri?eid=2-s2.0-84952330057&amp;doi=10.1186%2fs13750-015-0050-7&amp;partnerID=40&amp;md5=ffcac1c7c213b6e33a7fd73dfee89c8d</t>
  </si>
  <si>
    <t>&lt;p&gt;Export Date: 27 January 2025; Cited By: 56&lt;/p&gt; | RAYYAN-INCLUSION: {"Carlos"=&gt;"Excluded"}</t>
  </si>
  <si>
    <t>10.1186/s13750-015-0050-7</t>
  </si>
  <si>
    <t>Biodiversity;Boreal forest;Browsing;Dead wood;Disturbance legacy;Forest conservation;Forest reserve;Forest restoration;Forest set-aside;Grazing;Habitat management;Partial harvesting;Prescribed burning;Temperate forest;Thinning</t>
  </si>
  <si>
    <t>rayyan-153491933</t>
  </si>
  <si>
    <t>Environmental Bargaining and Boundary Organizations: Remapping British Columbia's Great Bear Rainforest</t>
  </si>
  <si>
    <t>Annals of the Association of American Geographers</t>
  </si>
  <si>
    <t>1391-1408</t>
  </si>
  <si>
    <t>Affolderbach, J. and Clapp, R.A. and Hayter, R.</t>
  </si>
  <si>
    <t>https://www.scopus.com/inward/record.uri?eid=2-s2.0-84867193209&amp;doi=10.1080%2f00045608.2012.706567&amp;partnerID=40&amp;md5=4b18cce6df447462cefef374db3ab3e7</t>
  </si>
  <si>
    <t>&lt;p&gt;Export Date: 27 January 2025; Cited By: 26&lt;/p&gt; | RAYYAN-INCLUSION: {"Aidan"=&gt;"Excluded"}</t>
  </si>
  <si>
    <t>10.1080/00045608.2012.706567</t>
  </si>
  <si>
    <t>bargaining;boundary organization;British Columbia;Canada;conservation management;ENGOs;environmental governance;environmental policy;forest management;Great Bear Rainforest;land use;nongovernmental organization;numerical model;property rights;regional development;remapping;stakeholder;sustainable development</t>
  </si>
  <si>
    <t>rayyan-153492184</t>
  </si>
  <si>
    <t>Hen harriers and red grouse: Science, politics and human-wildlife conflict</t>
  </si>
  <si>
    <t>1550-1554</t>
  </si>
  <si>
    <t>Thirgood, S. and Redpath, S.</t>
  </si>
  <si>
    <t>https://www.scopus.com/inward/record.uri?eid=2-s2.0-50649088145&amp;doi=10.1111%2fj.1365-2664.2008.01519.x&amp;partnerID=40&amp;md5=819889e29f1582fc49bb6aa3b9e77f18</t>
  </si>
  <si>
    <t>&lt;p&gt;Export Date: 27 January 2025; Cited By: 116&lt;/p&gt; | RAYYAN-INCLUSION: {"Philip"=&gt;"Excluded"}</t>
  </si>
  <si>
    <t>10.1111/j.1365-2664.2008.01519.x</t>
  </si>
  <si>
    <t>anthropogenic effect;Circus;Conflict;economic impact;Economics;Eurasia;Europe;gamebird;Grouse;hunting;mitigation;moorland;Moorland;politics;predation;Predation;raptor;Raptores;Raptors;stakeholder;Stakeholders;Tetraonidae;United Kingdom;Western Europe;wildlife management</t>
  </si>
  <si>
    <t>rayyan-153492243</t>
  </si>
  <si>
    <t>Credible science? Evaluating the regional forest agreement process in Western Australia</t>
  </si>
  <si>
    <t>Australian Journal of Environmental Management</t>
  </si>
  <si>
    <t>213-225</t>
  </si>
  <si>
    <t>Horwitz, P. and Calver, M.</t>
  </si>
  <si>
    <t>https://www.scopus.com/inward/record.uri?eid=2-s2.0-0000298491&amp;doi=10.1080%2f14486563.1998.10648420&amp;partnerID=40&amp;md5=df9754afbd5fd325d37a245ff2d75389</t>
  </si>
  <si>
    <t>&lt;p&gt;Export Date: 27 January 2025; Cited By: 21&lt;/p&gt; | RAYYAN-INCLUSION: {"Philip"=&gt;"Excluded"}</t>
  </si>
  <si>
    <t>10.1080/14486563.1998.10648420</t>
  </si>
  <si>
    <t>rayyan-153492273</t>
  </si>
  <si>
    <t>Comparison and analysis of lessons learned during the investigation of oiled wildlife found near Saint Lawrence Island, Alaska</t>
  </si>
  <si>
    <t>Proceedings of the 37th AMOP Technical Seminar on Environmental Contamination and Response</t>
  </si>
  <si>
    <t>276-288</t>
  </si>
  <si>
    <t>Adamczak, A.K. and Starsman, J.K. and Dunker, B. and Ha, Y. and DeRnyter, T.</t>
  </si>
  <si>
    <t>https://www.scopus.com/inward/record.uri?eid=2-s2.0-84916196795&amp;partnerID=40&amp;md5=becc0f050ac63a3e1bf2711467fe2dac</t>
  </si>
  <si>
    <t>&lt;p&gt;Export Date: 27 January 2025; Cited By: 0&lt;/p&gt; | RAYYAN-INCLUSION: {"Prishnee"=&gt;"Excluded"}</t>
  </si>
  <si>
    <t>Analytical samples;Animals;Comparison and analysis;Debris;Environmental conservation;Interpretation of data;Offshore oil wells;Oil shale;Pollution detection;Potential sources;Rapid response;State and Federal Wildlife Agencies;United States Coast Guard;Water pollution</t>
  </si>
  <si>
    <t>rayyan-153493115</t>
  </si>
  <si>
    <t>Scientific evidence and potential barriers in the management of Brazilian protected areas</t>
  </si>
  <si>
    <t>Giehl, E.L.H. and Moretti, M. and Walsh, J.C. and Batalha, M.A. and Cook, C.N.</t>
  </si>
  <si>
    <t>https://www.scopus.com/inward/record.uri?eid=2-s2.0-85009124875&amp;doi=10.1371%2fjournal.pone.0169917&amp;partnerID=40&amp;md5=67a67b3cef3fd0017268deea9a77d680</t>
  </si>
  <si>
    <t>&lt;p&gt;Export Date: 27 January 2025; Cited By: 20&lt;/p&gt; | RAYYAN-INCLUSION: {"Sarah"=&gt;"Included"}</t>
  </si>
  <si>
    <t>10.1371/journal.pone.0169917</t>
  </si>
  <si>
    <t>algorithm;Algorithms;Brazil;Conservation of Natural Resources;developing country;environmental protection;human;human experiment;Humans;language;manager;Models, Statistical;personal experience;procedures;questionnaire;research;Research;statistical model;statistics and numerical data;training</t>
  </si>
  <si>
    <t>rayyan-153493346</t>
  </si>
  <si>
    <t>Unlocking Lethal Dingo Management in Australia</t>
  </si>
  <si>
    <t>Diversity</t>
  </si>
  <si>
    <t>Boronyak, L. and Jacobs, B. and Smith, B.</t>
  </si>
  <si>
    <t>https://www.scopus.com/inward/record.uri?eid=2-s2.0-85160587110&amp;doi=10.3390%2fd15050642&amp;partnerID=40&amp;md5=839c31b860b1d90232f25b4d4d7dee27</t>
  </si>
  <si>
    <t>&lt;p&gt;Export Date: 27 January 2025; Cited By: 1&lt;/p&gt; | RAYYAN-INCLUSION: {"Philip"=&gt;"Excluded", "Carlos"=&gt;"Included"}</t>
  </si>
  <si>
    <t>10.3390/d15050642</t>
  </si>
  <si>
    <t>agricultural land;Australia;canid;carnivore;conflict;dingo;grazing management;human-wildlife coexistence;livestock farming;livestock production;lock-in traps;management;predator;rangeland;social-ecological systems</t>
  </si>
  <si>
    <t>rayyan-153493742</t>
  </si>
  <si>
    <t>The birth of a science-policy interface for biodiversity: The history of IPBES</t>
  </si>
  <si>
    <t>The Intergovernmental Platform on Biodiversity and Ecosystem Services (IPBES): Meeting the challenges of biodiversity conservation and governance</t>
  </si>
  <si>
    <t>41-77</t>
  </si>
  <si>
    <t>Vadrot, A.B.M.</t>
  </si>
  <si>
    <t>https://www.scopus.com/inward/record.uri?eid=2-s2.0-85021149739&amp;doi=10.4324%2f9781315651095-13&amp;partnerID=40&amp;md5=aa6331b10cc9f906452acd8f375cc3bf</t>
  </si>
  <si>
    <t>rayyan-153493838</t>
  </si>
  <si>
    <t>Collaborative learning to unlock investments for functional ecological infrastructure: Bridging barriers in social-ecological systems in South Africa</t>
  </si>
  <si>
    <t>Ecosystem Services</t>
  </si>
  <si>
    <t>291-304</t>
  </si>
  <si>
    <t>Angelstam, P. and Barnes, G. and Elbakidze, M. and Marais, C. and Marsh, A. and Polonsky, S. and Richardson, D.M. and Rivers, N. and Shackleton, R.T. and Stafford, W.</t>
  </si>
  <si>
    <t>https://www.scopus.com/inward/record.uri?eid=2-s2.0-85018881129&amp;doi=10.1016%2fj.ecoser.2017.04.012&amp;partnerID=40&amp;md5=eef6d6a335987d9a59f0c88f17095aa2</t>
  </si>
  <si>
    <t>&lt;p&gt;Export Date: 27 January 2025; Cited By: 45&lt;/p&gt; | RAYYAN-INCLUSION: {"Alice"=&gt;"Excluded"}</t>
  </si>
  <si>
    <t>10.1016/j.ecoser.2017.04.012</t>
  </si>
  <si>
    <t>Active adaptive management;Ecological (green) infrastructure;Landscape approach;Landscape restoration;Learning by evaluation;Scaling-up</t>
  </si>
  <si>
    <t>rayyan-153494492</t>
  </si>
  <si>
    <t>Exploring Floridians' perceptions of pollinator-friendly gardening to identify critical adoption barriers and strategies</t>
  </si>
  <si>
    <t>Gusto, C. and Silvert, C. and Warner, L.A. and Diaz, J. and Mallinger, R.</t>
  </si>
  <si>
    <t>https://www.scopus.com/inward/record.uri?eid=2-s2.0-85150759923&amp;doi=10.1016%2fj.ufug.2023.127867&amp;partnerID=40&amp;md5=10fca9fa714405013e0147c8f5d4fc9e</t>
  </si>
  <si>
    <t>10.1016/j.ufug.2023.127867</t>
  </si>
  <si>
    <t>adoption behavior;angiosperm;barrier (equipment);Barriers;garden;Gardening;landscape;Landscape conservation;pollinator;Pollinators residential landscaping;residential location;strategic approach;Strategies</t>
  </si>
  <si>
    <t>rayyan-153494591</t>
  </si>
  <si>
    <t>Population Dynamics and Food Webs: Drifting Away from The Lotka-Volterra Paradigm</t>
  </si>
  <si>
    <t>Dynamic Food Webs</t>
  </si>
  <si>
    <t>71-73</t>
  </si>
  <si>
    <t>Kokkoris, G.D.</t>
  </si>
  <si>
    <t>https://www.scopus.com/inward/record.uri?eid=2-s2.0-84882900747&amp;doi=10.1016%2fB978-012088458-2%2f50009-6&amp;partnerID=40&amp;md5=ab9968b97ebd1bd6c03d2a56e5245212</t>
  </si>
  <si>
    <t>rayyan-153494735</t>
  </si>
  <si>
    <t>Managing biodiversity on private land: Directions for collaboration through reconciliation ecology</t>
  </si>
  <si>
    <t>Ecological Management and Restoration</t>
  </si>
  <si>
    <t>85-92</t>
  </si>
  <si>
    <t>Ward, W.S. and Finlayson, C. and Vanderzee, M.</t>
  </si>
  <si>
    <t>https://www.scopus.com/inward/record.uri?eid=2-s2.0-85194850319&amp;doi=10.1111%2femr.12606&amp;partnerID=40&amp;md5=cfdb43f89dec2d6f2bf427643c7f6785</t>
  </si>
  <si>
    <t>&lt;p&gt;Export Date: 27 January 2025; Cited By: 0&lt;/p&gt; | RAYYAN-INCLUSION: {"Prishnee"=&gt;"Included"}</t>
  </si>
  <si>
    <t>10.1111/emr.12606</t>
  </si>
  <si>
    <t>Australia;biodiversity;co-design;community of practice;farmer knowledge;farmers knowledge;global climate;Mid-Murray Valley;natural resource;natural resource management;participatory approach;private land;resource management;rural area;rural population;salinity;soil erosion;stakeholder</t>
  </si>
  <si>
    <t>rayyan-153494853</t>
  </si>
  <si>
    <t>Panama Case Study: Coastal Zone Management in Panama: Lessons Learnedand Outlook for the Future</t>
  </si>
  <si>
    <t>Challenges in Tropical Coastal Zone Management: Experiences and Lessons Learned</t>
  </si>
  <si>
    <t>165-186</t>
  </si>
  <si>
    <t>Seemann, J. and Romero, T.E. and Dominici-Arosemena, A. and MatÃ©, J. and Cornejo, A.J. and Savage, J.M. and Rodriguez, F. and Castillo, A.</t>
  </si>
  <si>
    <t>https://www.scopus.com/inward/record.uri?eid=2-s2.0-85160466806&amp;doi=10.1007%2f978-3-031-17879-5_11&amp;partnerID=40&amp;md5=db2f92cfa8987cac96c1583e872d40ac</t>
  </si>
  <si>
    <t>Case studies;Coastal community;Enforcement;Governance;Management plans;Panama;Participation;Stakeholder</t>
  </si>
  <si>
    <t>rayyan-153495632</t>
  </si>
  <si>
    <t>The invasive species challenge in estuarine and coastal environments: Marrying management and science</t>
  </si>
  <si>
    <t>Estuaries and Coasts</t>
  </si>
  <si>
    <t>Williams, S.L. and Grosholz, E.D.</t>
  </si>
  <si>
    <t>https://www.scopus.com/inward/record.uri?eid=2-s2.0-46249090129&amp;doi=10.1007%2fs12237-007-9031-6&amp;partnerID=40&amp;md5=a1aecca5afed50bcd5ebc30b95acbc51</t>
  </si>
  <si>
    <t>&lt;p&gt;Export Date: 27 January 2025; Cited By: 190&lt;/p&gt; | RAYYAN-INCLUSION: {"Sarah"=&gt;"Excluded"}</t>
  </si>
  <si>
    <t>10.1007/s12237-007-9031-6</t>
  </si>
  <si>
    <t>Caulerpa;Caulerpa taxifolia;coastal zone management;cost-benefit analysis;Economic costs;Eradication;estuarine environment;introduced species;invasive species;Management;Marine invasive species;North America;pollution control;regulatory framework;seagrass;seaweed;Spartina;Spartina alterniflora;United States</t>
  </si>
  <si>
    <t>rayyan-153496842</t>
  </si>
  <si>
    <t>Evolution of community forestry in Cameroon: An innovation ecosystems perspective</t>
  </si>
  <si>
    <t>Minang, P.A. and Duguma, L.A. and Bernard, F. and Foundjem-Tita, D. and Tchoundjeu, Z.</t>
  </si>
  <si>
    <t>https://www.scopus.com/inward/record.uri?eid=2-s2.0-85065761005&amp;doi=10.5751%2fES-10573-240101&amp;partnerID=40&amp;md5=875191fda667515ba2aa58f62fa13743</t>
  </si>
  <si>
    <t>&lt;p&gt;Export Date: 27 January 2025; Cited By: 29&lt;/p&gt; | RAYYAN-INCLUSION: {"Tabitha"=&gt;"Excluded"}</t>
  </si>
  <si>
    <t>10.5751/ES-10573-240101</t>
  </si>
  <si>
    <t>best management practice;Cameroon;community forestry;Community forestry;Evolution;forest management;innovation;Innovation ecosystems;sustainable development</t>
  </si>
  <si>
    <t>rayyan-153497509</t>
  </si>
  <si>
    <t>Public forest policy development in new Brunswick, Canada: Multiple streams approach, advocacy coalition framework, and the role of science</t>
  </si>
  <si>
    <t>Anderson, W.F.A. and Maclean, D.A.</t>
  </si>
  <si>
    <t>https://www.scopus.com/inward/record.uri?eid=2-s2.0-84953331647&amp;doi=10.5751%2fES-07795-200420&amp;partnerID=40&amp;md5=f4c4b3765a1dd730c4ef27fcce4d3615</t>
  </si>
  <si>
    <t>&lt;p&gt;Export Date: 27 January 2025; Cited By: 16&lt;/p&gt; | RAYYAN-INCLUSION: {"Philip"=&gt;"Included"}</t>
  </si>
  <si>
    <t>10.5751/ES-07795-200420</t>
  </si>
  <si>
    <t>advocacy;Canada;Crown forests;forest management;Forest management;Forest policy;forestry policy;Government agenda;Jaakko PÃ¶yry report;New Brunswick;Policy;policy development;Policy windows;Policy-oriented learning;science and technology</t>
  </si>
  <si>
    <t>rayyan-153498903</t>
  </si>
  <si>
    <t>Community watershed management in Semiarid India: The state of collective action and its effects on natural resources and rural livelihoods</t>
  </si>
  <si>
    <t>Collective action and property rights for poverty reduction: Insights from Africa and Asia</t>
  </si>
  <si>
    <t>153-188</t>
  </si>
  <si>
    <t>Shiferaw, B. and Kebede, T.A. and Reddy, V.R.</t>
  </si>
  <si>
    <t>https://www.scopus.com/inward/record.uri?eid=2-s2.0-84905131538&amp;partnerID=40&amp;md5=bc2e3279f8e0acc4a6b038e6e1bf0c37</t>
  </si>
  <si>
    <t>rayyan-153498990</t>
  </si>
  <si>
    <t>The uptake of applied ecology</t>
  </si>
  <si>
    <t>Ormerod, S.J. and Barlow, N.D. and Marshall, E.J.P. and Kerby, G.</t>
  </si>
  <si>
    <t>https://www.scopus.com/inward/record.uri?eid=2-s2.0-0036192637&amp;doi=10.1046%2fj.0021-8901.2001.00705.x&amp;partnerID=40&amp;md5=0483cb1ffee65432143730fa53274e97</t>
  </si>
  <si>
    <t>&lt;p&gt;Export Date: 27 January 2025; Cited By: 35&lt;/p&gt; | RAYYAN-INCLUSION: {"Philip"=&gt;"Included"}</t>
  </si>
  <si>
    <t>10.1046/j.0021-8901.2001.00705.x</t>
  </si>
  <si>
    <t>algae;Amphibia;Aves;Ecological application;ecosystem management;Embryophyta;environmental policy;Extension;information;Information dissemination;Invertebrata;Mammalia;Management;Policy</t>
  </si>
  <si>
    <t>rayyan-153499092</t>
  </si>
  <si>
    <t>Stakeholder contemporary knowledge needs regarding the potential effects of tall structures on sage-grouse</t>
  </si>
  <si>
    <t>273-298</t>
  </si>
  <si>
    <t>Messmer, T.A. and Hasenyager, R. and Burruss, J. and Liguori, S.</t>
  </si>
  <si>
    <t>https://www.scopus.com/inward/record.uri?eid=2-s2.0-84891752345&amp;partnerID=40&amp;md5=4774fddbd097ff2767b13c98fda6f68f</t>
  </si>
  <si>
    <t>&lt;p&gt;Export Date: 27 January 2025; Cited By: 8&lt;/p&gt; | RAYYAN-INCLUSION: {"Philip"=&gt;"Included"}</t>
  </si>
  <si>
    <t>Centrocercus minimus;Centrocercus urophasianus;Energy transmission;Greater sage-grouse;Gunnison sagegrouse;Human-wildlife conflicts;Impacts;Literature synthesis;Power lines;Research;Stakeholder process;Tall structures</t>
  </si>
  <si>
    <t>rayyan-164683794</t>
  </si>
  <si>
    <t>Managing coastal zone fisheries: A Mediterranean case study</t>
  </si>
  <si>
    <t>OCEAN &amp; COASTAL MANAGEMENT</t>
  </si>
  <si>
    <t>0964-5691     J9  - OCEAN COAST MANAGE     JI  - Ocean Coastal Manage.</t>
  </si>
  <si>
    <t>99-106</t>
  </si>
  <si>
    <t>Morales-Nin, B and Grau, AM and Palmer, M</t>
  </si>
  <si>
    <t>English</t>
  </si>
  <si>
    <t>["IMEDEA CSIC UIB, Esporles 07190, Illes Balears, Spain", "Direcc Gen Pesca Govern Illes Balears, Palma De Mallorca 07004, Illes Balears, Spain"]</t>
  </si>
  <si>
    <t>Times Cited in Web of Science Core Collection:  53     Total Times Cited:  57     Cited Reference Count:  28 | RAYYAN-INCLUSION: {"Elina"=&gt;"Excluded"}</t>
  </si>
  <si>
    <t>10.1016/j.ocecoaman.2010.01.003     WE  - Science Citation Index Expanded (SCI-EXPANDED)</t>
  </si>
  <si>
    <t>RECREATIONAL FISHERY;MORTALITY;EVOLUTION</t>
  </si>
  <si>
    <t>rayyan-164683817</t>
  </si>
  <si>
    <t>Science-informed recommendations to enhance the effectiveness of area-based fisheries management for fisheries sustainability and marine conservation: A global mini-review</t>
  </si>
  <si>
    <t>FISHERIES RESEARCH</t>
  </si>
  <si>
    <t>["0165-7836", "1872-6763     J9  - FISH RES     JI  - Fish Res."]</t>
  </si>
  <si>
    <t>Petza, D and Katsanevakis, S</t>
  </si>
  <si>
    <t>Univ Aegean, Dept Marine Sci, Univ Hill, Mitilini 81100, Greece</t>
  </si>
  <si>
    <t>Times Cited in Web of Science Core Collection:  3     Total Times Cited:  3     Cited Reference Count:  39 | RAYYAN-INCLUSION: {"Iris"=&gt;"Excluded"}</t>
  </si>
  <si>
    <t>10.1016/j.fishres.2024.106947</t>
  </si>
  <si>
    <t>Ecosystem Approach to Fisheries (EAF);Evidence synthesis;Global Biodiversity Framework;Other Effective area-based Conservation Measures (OECMs);Science-based fisheries management;TOOL</t>
  </si>
  <si>
    <t>rayyan-164683897</t>
  </si>
  <si>
    <t>Environmental evidence in action: on the science and practice of evidence synthesis and evidence-based decision-making</t>
  </si>
  <si>
    <t>ENVIRONMENTAL EVIDENCE</t>
  </si>
  <si>
    <t>2047-2382     J9  - ENVIRON EVID     JI  - Environ. Evid.</t>
  </si>
  <si>
    <t>Cooke, SJ and Cook, CN and Nguyen, VM and Walsh, JC and Young, N and Cvitanovic, C and Grainger, MJ and Randall, NP and Muir, M and Kadykalo, AN and Monk, KA and Pullin, AS</t>
  </si>
  <si>
    <t>["Carleton Univ, Canadian Ctr Evidence Based Conservat, Dept Biol, 1125 Colonel By Dr, Ottawa, ON K1S 5B6, Canada", "Carleton Univ, Inst Environm &amp; Interdisciplinary Sci, 1125 Colonel By Dr, Ottawa, ON K1S 5B6, Canada", "Monash Univ, Sch Biol Sci, 25 Rainforest Walk, Clayton, Vic 3800, Australia", "Univ Ottawa, Sch Sociol &amp; Anthropol Studies, 20 Univ Private, Ottawa, ON K1N 6N5, Canada", "Univ New South Wales, Sch Business, Canberra, ACT 2612, Australia", "Norwegian Inst Nat Res NINA, Torgarden,5685, N-7485 Trondheim, Norway", "Harper Adams Univ, Ctr Evidence Based Agr, Newport TF10 8NB, Shrops, England", "US Fish &amp; Wildlife Serv, 5275 Leesburg Pike, Falls Church, VA 22041 USA", "McGill Univ, Dept Nat Resource Sci, 111 Lakeshore Blvd, Ste Anne de Bellevue, PQ H9X 3V9, Canada", "Swansea Univ, Dept Biosci, Swansea SA2 8PP, Wales", "Bangor Univ, Sch Nat Sci, Bangor LL57 2DG, Wales"]</t>
  </si>
  <si>
    <t>Times Cited in Web of Science Core Collection:  7     Total Times Cited:  7     Cited Reference Count:  70 | RAYYAN-INCLUSION: {"Philip"=&gt;"Excluded"}</t>
  </si>
  <si>
    <t>10.1186/s13750-023-00302-5     WE  - Science Citation Index Expanded (SCI-EXPANDED)</t>
  </si>
  <si>
    <t>Implementation science;Evidence;Practice;Policy;Synthesis;SYSTEMATIC REVIEWS;INDIGENOUS KNOWLEDGE;CONSERVATION;INTERFACE;IMPACTS;FUTURE;HEALTH;POLICY</t>
  </si>
  <si>
    <t>rayyan-164683906</t>
  </si>
  <si>
    <t>Scenarios for Community-based Approaches to Biodiversity Conservation: a case study from the Wet Tropics, Queensland, Australia</t>
  </si>
  <si>
    <t>AUSTRALIAN GEOGRAPHER</t>
  </si>
  <si>
    <t>["0004-9182", "1465-3311     J9  - AUST GEOGR     JI  - Aust. Geogr."]</t>
  </si>
  <si>
    <t>285-306</t>
  </si>
  <si>
    <t>Pert, PL and Hill, R and Williams, KJ and Harding, EK and O'Malley, T and Grace, RA and Dale, AP and Bohnet, I and Butler, JRLA</t>
  </si>
  <si>
    <t>["CSIRO Sustainable Ecosyst, Cairns, Qld 4870, Australia", "James Cook Univ, Townsville, Qld, Australia"]</t>
  </si>
  <si>
    <t>Times Cited in Web of Science Core Collection:  16     Total Times Cited:  18     Cited Reference Count:  48 | RAYYAN-INCLUSION: {"Philip"=&gt;"Excluded"}</t>
  </si>
  <si>
    <t>10.1080/00049182.2010.498037     WE  - Social Science Citation Index (SSCI)</t>
  </si>
  <si>
    <t>Regional planning;conservation planning;participatory scenario development;CBNRM;stakeholders;land use;Mission Beach;MANAGEMENT;KNOWLEDGE;CAPACITY;LESSONS</t>
  </si>
  <si>
    <t>rayyan-164683907</t>
  </si>
  <si>
    <t>Integrating Science-Based Co-management, Partnerships, Participatory Processes and Stewardship Incentives to Improve the Performance of Small-Scale Fisheries</t>
  </si>
  <si>
    <t>FRONTIERS IN MARINE SCIENCE</t>
  </si>
  <si>
    <t>2296-7745     J9  - FRONT MAR SCI     JI  - Front. Mar. Sci.</t>
  </si>
  <si>
    <t>Karr, KA and Fujita, R and Carcamo, R and Epstein, L and Foley, JR and Fraire-Cervantes, JA and Gongora, M and Gonzalez-Cuellar, OT and Granados-Dieseldorff, P and Guirjen, J and Weaver, AH and LicÃ³n-GonzÃ¡lez, H and Litsinger, E and Maaz, J and Mancao, R and Miller, V and Ortiz-Rodriguez, R and Plomozo-Lugo, T and Rodriguez-Harker, LF and Rodriguez-Van Dyck, S and Stavrinaky, A and Villanueva-Aznar, C and Wade, B and Whittle, D and Kritzer, JP</t>
  </si>
  <si>
    <t>["Environm Def Fund, Oceans Program, San Francisco, CA 94105 USA", "Belize Fisheries Dept, Belize City, Belize", "Environm Def Fund, Oceans Program, Seattle, WA USA", "Toledo Inst Dev &amp; Environm, Port Honduras, Belize", "Environm Def Fund Mexico AC, La Paz, Mexico", "Soc Hist Nat Niparaja AC, La Paz, Mexico", "Rare, Fish Forever Program, Arlington, VA USA", "Rare, Fish Forever Program, Cebu, Philippines", "Environm Def Fund, Oceans Program, Cebu, Philippines", "Wildlife Conservat Soc, Belize City, Belize", "Environm Def Fund, Oceans Program, Austin, TX USA", "Environm Def Fund Mexico AC, Mexico City, DF, Mexico", "Environm Def Fund, Oceans Program, Raleigh, NC USA", "Environm Def Fund, Oceans Program, Boston, MA USA"]</t>
  </si>
  <si>
    <t>Times Cited in Web of Science Core Collection:  37     Total Times Cited:  41     Cited Reference Count:  58 | RAYYAN-INCLUSION: {"Philip"=&gt;"Excluded", "Iris"=&gt;"Maybe"}</t>
  </si>
  <si>
    <t>10.3389/fmars.2017.00345     WE  - Science Citation Index Expanded (SCI-EXPANDED)</t>
  </si>
  <si>
    <t>fishery management;science-based;rights-based management;sustainability;adaptive management;data-limited fisheries;SPINY LOBSTER;EMPIRICAL-EVIDENCE;MARINE RESERVES;CONSERVATION;MANAGEMENT;DEPLETION;TOTOABA;TURFS;GOVERNANCE;SCIAENIDAE</t>
  </si>
  <si>
    <t>rayyan-164683938</t>
  </si>
  <si>
    <t>Protecting and restoring habitats to benefit freshwater biodiversity</t>
  </si>
  <si>
    <t>ENVIRONMENTAL REVIEWS</t>
  </si>
  <si>
    <t>["1208-6053", "1181-8700     J9  - ENVIRON REV     JI  - Environ. Rev."]</t>
  </si>
  <si>
    <t>438-456</t>
  </si>
  <si>
    <t>Piczak, ML and Perry, D and Cooke, SJ and Harrison, I and Benitez, S and Koning, A and Peng, L and Limbu, P and Smokorowski, KE and Salinas-Rodriguez, S and Koehn, JD and Creed, IF</t>
  </si>
  <si>
    <t>["Carleton Univ, Dept Biol, Fish Ecol &amp; Conservat Physiol Lab, 1125 Colonel Dr, Ottawa, ON K1S 5B6, Canada", "No Arizona Univ, Sch Earth &amp; Sustainabil, POB 4099, Flagstaff, AZ 86011 USA", "Carleton Univ, Inst Environm &amp; Interdisciplinary Sci, 1125 Colonel Dr, Ottawa, ON K1S 5B6, Canada", "Conservat Int, Moore Ctr Sci, 2011 Crystal Dr,Suite 600, Arlington, VA 22202 USA", "Nature Conservancy, 4245 N Fairfax Dr,Suite 100, Arlington, VA 22203 USA", "Univ Nevada Reno, Global Water Ctr, 1072 Evans Streey, Reno, NV 89512 USA", "Yunnan Univ, Sch Business &amp; Tourism Management, Kunming 650500, Peoples R China", "Nature Conservancy, Mji Mwema Rd Plot 20,POB 894, Kigoma, Tanzania", "Fisheries &amp; Oceans Canada, Great Lakes Lab Fisheries &amp; Aquat Sci, 1219 Queen St E, Sault Ste Marie, ON P6A 2E5, Canada", "Southern Border Coll, Sustainabil Sci Dept, Villahermosa Unit, Sustainable Management Basins &amp; Coastal Zones, Carr Villahermosa Reforma Km 15-5,El Guineo 2, Villahermosa 86280, Tabasco, Mexico", "Charles Sturt Univ, Gulbali Inst Agr Water &amp; Environm, POB 789, Albury, NSW 2640, Australia", "Univ Toronto Scarborough, Dept Phys &amp; Environm Sci, 1265 Mil Trail, Toronto, ON M1C 1A4, Canada"]</t>
  </si>
  <si>
    <t>Times Cited in Web of Science Core Collection:  17     Total Times Cited:  18     Cited Reference Count:  202 | RAYYAN-INCLUSION: {"Iris"=&gt;"Excluded"}</t>
  </si>
  <si>
    <t>10.1139/er-2023-0034</t>
  </si>
  <si>
    <t>environmental management;aquatic ecosystems;fisheries;Anthropocene;conservation;MURRAY-DARLING BASIN;NO NET LOSS;FISH HABITAT;STREAM RESTORATION;RIPARIAN ECOSYSTEMS;ADAPTIVE MANAGEMENT;CLIMATE-CHANGE;CONSERVATION;RIVER;AREAS</t>
  </si>
  <si>
    <t>rayyan-164683974</t>
  </si>
  <si>
    <t>Snapshot Wisconsin: networking community scientists and remote sensing to improve ecological monitoring and management</t>
  </si>
  <si>
    <t>ECOLOGICAL APPLICATIONS</t>
  </si>
  <si>
    <t>["1051-0761", "1939-5582     J9  - ECOL APPL     JI  - Ecol. Appl."]</t>
  </si>
  <si>
    <t>Townsend, PA and Clare, JDJ and Liu, NF and Stenglein, JL and Anhalt-Depies, C and Van Deelen, TR and Gilbert, NA and Singh, A and Martin, KJ and Zuckerberg, B</t>
  </si>
  <si>
    <t>["Univ Wisconsin, Dept Forest &amp; Wildlife Ecol, Madison, WI 53706 USA", "Wisconsin Dept Nat Resources, Madison, WI 53707 USA", "Univ Florida, Dept Agr &amp; Biol Engn, Gainesville, FL 32603 USA", "Univ Wisconsin, Div Extens, Madison, WI 53706 USA"]</t>
  </si>
  <si>
    <t>Times Cited in Web of Science Core Collection:  11     Total Times Cited:  13     Cited Reference Count:  82 | RAYYAN-INCLUSION: {"Carlos"=&gt;"Excluded"}</t>
  </si>
  <si>
    <t>10.1002/eap.2436</t>
  </si>
  <si>
    <t>black bear;bobcat;camera trap;citizen science;Landsat;management agency;MODIS;observation network;remote sensing;trail cameras;white-tailed deer;wildlife;WHITE-TAILED DEER;CITIZEN SCIENCE;BIODIVERSITY;OPPORTUNITIES;RESPONSES;MODELS;POLICY</t>
  </si>
  <si>
    <t>rayyan-164683979</t>
  </si>
  <si>
    <t>Bridging adaptive management and reinforcement learning for more robust decisions</t>
  </si>
  <si>
    <t>PHILOSOPHICAL TRANSACTIONS OF THE ROYAL SOCIETY B-BIOLOGICAL SCIENCES</t>
  </si>
  <si>
    <t>["0962-8436", "1471-2970     J9  - PHILOS T R SOC B     JI  - Philos. Trans. R. Soc. B-Biol. Sci."]</t>
  </si>
  <si>
    <t>Chapman, M and Xu, LLY and Lapeyrolerie, M and Boettiger, C</t>
  </si>
  <si>
    <t>["Univ Calif Berkeley, Dept Environm Sci Policy &amp; Management, Berkeley, CA 94720 USA", "Harvard Univ, Sch Engn &amp; Appl Sci, Cambridge, MA 02138 USA"]</t>
  </si>
  <si>
    <t>Times Cited in Web of Science Core Collection:  6     Total Times Cited:  7     Cited Reference Count:  96 | RAYYAN-INCLUSION: {"Philip"=&gt;"Excluded", "Tabitha"=&gt;"Excluded", "Prishnee"=&gt;"Excluded", "Valentin"=&gt;"Excluded", "fereshteh"=&gt;"Included", "Aidan"=&gt;"Excluded", "Nibedita"=&gt;"Excluded", "Alec"=&gt;"Excluded", "Isobel"=&gt;"Excluded"}</t>
  </si>
  <si>
    <t>10.1098/rstb.2022.0195     WE  - Science Citation Index Expanded (SCI-EXPANDED)</t>
  </si>
  <si>
    <t>adaptive management;artificial intelligence;reinforcement learning;deep learning;biodiversity;decision-making;PROTECTED AREAS;CONSERVATION;OPTIMIZATION;NETWORKS;AI</t>
  </si>
  <si>
    <t>rayyan-164683989</t>
  </si>
  <si>
    <t>Practice change, participation and policy settings: A review of social and institutional conditions influencing water quality outcomes in the Great Barrier Reef</t>
  </si>
  <si>
    <t>["0964-5691", "1873-524X     J9  - OCEAN COAST MANAGE     JI  - Ocean Coastal Manage."]</t>
  </si>
  <si>
    <t>Taylor, BM and Eberhard, R</t>
  </si>
  <si>
    <t>["CSIRO Land &amp; Water, 41 Boggo Rd,Dutton Pk, Brisbane, Qld 4102, Australia", "Eberhard Consulting, 55 Pk Rd West,Dutton Pk, Brisbane, Qld 4102, Australia"]</t>
  </si>
  <si>
    <t>Times Cited in Web of Science Core Collection:  17     Total Times Cited:  17     Cited Reference Count:  150 | RAYYAN-INCLUSION: {"Philip"=&gt;"Excluded"}</t>
  </si>
  <si>
    <t>10.1016/j.ocecoaman.2020.105156     WE  - Science Citation Index Expanded (SCI-EXPANDED)     WE  - Social Science Citation Index (SSCI)</t>
  </si>
  <si>
    <t>Engagement;Practice change;Farming;Water quality;Program design;Intervention;Governance;NATURAL-RESOURCE-MANAGEMENT;WET TROPICS REGION;BIODIVERSITY CONSERVATION;COLLABORATIVE GOVERNANCE;ADAPTIVE CAPACITY;PRACTICE ADOPTION;AUSTRALIA;POLLUTION;IMPACTS;LESSONS</t>
  </si>
  <si>
    <t>rayyan-164683998</t>
  </si>
  <si>
    <t>From Publications to Public Actions: When Conservation Biologists Bridge the Gap between Research and Implementation</t>
  </si>
  <si>
    <t>BIOSCIENCE</t>
  </si>
  <si>
    <t>["0006-3568", "1525-3244     J9  - BIOSCIENCE     JI  - Bioscience"]</t>
  </si>
  <si>
    <t>835-842</t>
  </si>
  <si>
    <t>Arlettaz, R and Schaub, M and Fournier, J and Reichlin, TS and Sierro, A and Watson, JEM and Braunisch, V</t>
  </si>
  <si>
    <t>["Univ Bern, Inst Ecol &amp; Evolut, CH-3012 Bern, Switzerland", "Univ Bern, Dept Conservat Biol, CH-3012 Bern, Switzerland", "Univ Queensland, Ctr Ecol, Brisbane, Qld, Australia"]</t>
  </si>
  <si>
    <t>Times Cited in Web of Science Core Collection:  261     Total Times Cited:  286     Cited Reference Count:  46 | RAYYAN-INCLUSION: {"Philip"=&gt;"Excluded"}</t>
  </si>
  <si>
    <t>10.1525/bio.2010.60.10.10     WE  - Science Citation Index Expanded (SCI-EXPANDED)</t>
  </si>
  <si>
    <t>the great divide;theory-implementation gap;evidence-based conservation;social commitment;conservation in practice;BIODIVERSITY CONSERVATION;DECISION-MAKING;SCIENTISTS;KNOWLEDGE;ECOLOGY;PLAN</t>
  </si>
  <si>
    <t>rayyan-164684046</t>
  </si>
  <si>
    <t>A Knowledge Brokering Framework for Integrated Landscape Management</t>
  </si>
  <si>
    <t>FRONTIERS IN SUSTAINABLE FOOD SYSTEMS</t>
  </si>
  <si>
    <t>2571-581X     J9  - FRONT SUSTAIN FOOD S     JI  - Front. Sustain. Food Syst.</t>
  </si>
  <si>
    <t>McGonigle, DF and Nodari, GR and Phillips, RL and Aynekulu, E and Estrada-Carmona, N and Jones, SK and Koziell, I and Luedeling, E and Remans, R and Shepherd, K and Wiberg, D and Whitney, C and Zhang, W</t>
  </si>
  <si>
    <t>["Alliance Biovers Int, Rome, Italy", "Int Ctr Trop Agr, Rome, Italy", "Dept Environm Food &amp; Rural Affairs, London, England", "Univ Cambridge, Dept Plant Sci, Cambridge, England", "World Agroforestry ICRAF, Nairobi, Kenya", "Alliance Biovers Int, Montpellier, France", "Int Ctr Trop Agr, Montpellier, France", "Int Water Management Inst, CGIAR Res Programme Water Land &amp; Ecosyst, Colombo, Sri Lanka", "Univ Bonn, Inst Crop Sci &amp; Resource Conservat INRES Hort Sci, Bonn, Germany", "Int Food Policy Res Inst, Environm &amp; Prod Technol Div, Washington, DC 20036 USA"]</t>
  </si>
  <si>
    <t>Times Cited in Web of Science Core Collection:  34     Total Times Cited:  37     Cited Reference Count:  153 | RAYYAN-INCLUSION: {"Tabitha"=&gt;"Excluded"}</t>
  </si>
  <si>
    <t>10.3389/fsufs.2020.00013     WE  - Science Citation Index Expanded (SCI-EXPANDED)</t>
  </si>
  <si>
    <t>integrated landscape management;multi-functional landscapes;sustainable agricultural intensification;natural resource management;decision support;knowledge broker;science-policy interface;science into policy;SUSTAINABLE AGRICULTURAL PRACTICES;ECOSYSTEM SERVICES;DECISION-MAKING;TRADE-OFFS;POLICY;SCIENCE;CONSERVATION;SYSTEMS;SUPPORT;INITIATIVES</t>
  </si>
  <si>
    <t>rayyan-164684063</t>
  </si>
  <si>
    <t>Conservation Focus on Europe: Major Conservation Policy Issues That Need to Be Informed by Conservation Science</t>
  </si>
  <si>
    <t>CONSERVATION BIOLOGY</t>
  </si>
  <si>
    <t>["0888-8892", "1523-1739     J9  - CONSERV BIOL     JI  - Conserv. Biol."]</t>
  </si>
  <si>
    <t>818-824</t>
  </si>
  <si>
    <t>Pullin, AS and BÃ¡ldi, A and Can, OE and Dieterich, M and Kati, V and Livoreil, B and LÃ¶vei, G and MihÃ³k, B and Nevin, O and Selva, N and Sousa-Pinto, I</t>
  </si>
  <si>
    <t>["Bangor Univ, SENR, Ctr Evidence Based Conservat, Bangor LL57 2UW, Gwynedd, Wales", "Hungarian Acad Sci, Anim Ecol Res Grp, H-1051 Budapest, Hungary", "Middle E Tech Univ, Dept Biol, TR-06531 Ankara, Turkey", "Univ Hohenheim, Inst Landschafts &amp; Pflanzenokol, D-70593 Stuttgart, Germany", "Univ Ioannina, Dept Environm &amp; Nat Resources Management, GR-30100 Agrinion, Greece", "SOPTOM, Ctr Res &amp; Conservat Chelonians, F-83590 Gonfaron, France", "Aarhus Univ, Dept Integrated Pest Management, Flakkebjerg Res Ctr, DK-4200 Slagelse, Denmark", "Hungarian Nat Hist Museum, Budapest, Hungary", "Univ Cumbria, Natl Sch Forestry, Ctr Wildlife Conservat, Penrith CA11 0AH, Cumbria, England", "Polish Acad Sci, Inst Nat Conservat, PL-31120 Krakow, Poland", "Univ Porto, Ctr Marine &amp; Environm Res, P-4100 Oporto, Portugal", "Univ Porto, Dept Bot, FCUP, P-4100 Oporto, Portugal"]</t>
  </si>
  <si>
    <t>Times Cited in Web of Science Core Collection:  123     Total Times Cited:  133     Cited Reference Count:  32 | RAYYAN-INCLUSION: {"Philip"=&gt;"Excluded"}</t>
  </si>
  <si>
    <t>10.1111/j.1523-1739.2009.01283.x     WE  - Science Citation Index Expanded (SCI-EXPANDED)</t>
  </si>
  <si>
    <t>evidence-based conservation;knowledge exchange;policy-relevant science;science-policy interface;LAND-USE CHANGE;CLIMATE-CHANGE;BIODIVERSITY;FUTURE;COVER</t>
  </si>
  <si>
    <t>rayyan-164684141</t>
  </si>
  <si>
    <t>Fish and flow management in the Murray-Darling Basin: Directions for research</t>
  </si>
  <si>
    <t>ECOLOGICAL MANAGEMENT &amp; RESTORATION</t>
  </si>
  <si>
    <t>["1442-7001", "1442-8903     J9  - ECOL MANAG RESTOR     JI  - Ecol. Manag. Restor."]</t>
  </si>
  <si>
    <t>142-150</t>
  </si>
  <si>
    <t>Koehn, JD and Balcombe, SR and Zampatti, BP</t>
  </si>
  <si>
    <t>["Arthur Rylah Inst Environm Res, Dept Environm Water Land &amp; Planning, 123 Brown St, Heidelberg, Vic 3084, Australia", "Griffith Univ, Australian Rivers Inst, 170 Kessels Rd, Nathan, Qld 4111, Australia", "SARDI, Aquat Sci Div, 2 Hamra Ave, West Beach, SA 5024, Australia"]</t>
  </si>
  <si>
    <t>Times Cited in Web of Science Core Collection:  13     Total Times Cited:  13     Cited Reference Count:  54 | RAYYAN-INCLUSION: {"Philip"=&gt;"Included"}</t>
  </si>
  <si>
    <t>10.1111/emr.12358     WE  - Science Citation Index Expanded (SCI-EXPANDED)</t>
  </si>
  <si>
    <t>collaborative workshop;environmental water;fish and flow ecology;literature review;policy;natural resource management;NATIVE-FISH;CONSERVATION;RESTORATION;KNOWLEDGE;STRATEGY;LESSONS;SUPPORT;INFORM;FUTURE;GROWTH</t>
  </si>
  <si>
    <t>rayyan-164684149</t>
  </si>
  <si>
    <t>Informing Protected Area Decision Making through Academic-Practitioner Collaborations</t>
  </si>
  <si>
    <t>LAND</t>
  </si>
  <si>
    <t>2073-445X     J9  - LAND-BASEL     JI  - Land</t>
  </si>
  <si>
    <t>Murray, G and Randall, C and Rollins, R</t>
  </si>
  <si>
    <t>["Duke Univ, Marine Sci &amp; Conservat Div, 135 Duke Marine Lab Rd, Beaufort, NC 28516 USA", "Vancouver Isl Univ, Dept Business, 900 Fifth St, Nanaimo, BC V9R 5S5, Canada", "Vancouver Isl Univ, Dept Recreat &amp; Tourism, 900 Fifth St, Nanaimo, BC V9R 5S5, Canada"]</t>
  </si>
  <si>
    <t>Times Cited in Web of Science Core Collection:  1     Total Times Cited:  1     Cited Reference Count:  34 | RAYYAN-INCLUSION: {"Matthew"=&gt;"Included"}</t>
  </si>
  <si>
    <t>10.3390/land9100375     WE  - Social Science Citation Index (SSCI)</t>
  </si>
  <si>
    <t>knowledge mobilization;protected areas;evidence-based decision making;UNIVERSITY-RESEARCH;KNOWLEDGE EXCHANGE;CONSERVATION;DETERMINANTS;MANAGEMENT;POLICY;RESEARCHERS;INFORMATION;PRINCIPLES;SCIENCE</t>
  </si>
  <si>
    <t>rayyan-164684153</t>
  </si>
  <si>
    <t>Using Best Available Science Information: Determining Best and Available</t>
  </si>
  <si>
    <t>JOURNAL OF FORESTRY</t>
  </si>
  <si>
    <t>["0022-1201", "1938-3746     J9  - J FOREST     JI  - J. For."]</t>
  </si>
  <si>
    <t>473-480</t>
  </si>
  <si>
    <t>Esch, BE and Waltz, AEM and Wasserman, TN and Kalies, EL</t>
  </si>
  <si>
    <t>["No Arizona Univ, Ecol Restorat Inst, POB 15017, Flagstaff, AZ 86011 USA", "Nature Conservancy, 334 Blackwell St, Durham, NC 27701 USA"]</t>
  </si>
  <si>
    <t>Times Cited in Web of Science Core Collection:  23     Total Times Cited:  26     Cited Reference Count:  40 | RAYYAN-INCLUSION: {"Aidan"=&gt;"Excluded"}</t>
  </si>
  <si>
    <t>10.1093/jofore/fvy037     WE  - Science Citation Index Expanded (SCI-EXPANDED)</t>
  </si>
  <si>
    <t>best available science;land and resource management;science-based management;forest planning;TRADITIONAL ECOLOGICAL KNOWLEDGE;ENDANGERED SPECIES ACT;DECISION-MAKING;CONSERVATION SCIENCE;MANAGEMENT;BOUNDARY;POLICY</t>
  </si>
  <si>
    <t>rayyan-164684154</t>
  </si>
  <si>
    <t>Demonstrating the practical impact of publications in&lt;i&gt;Aquatic Conservation&lt;/i&gt;- The case of crucian carp&lt;i&gt;Carassius carassius&lt;/i&gt;in the East of England</t>
  </si>
  <si>
    <t>AQUATIC CONSERVATION-MARINE AND FRESHWATER ECOSYSTEMS</t>
  </si>
  <si>
    <t>["1052-7613", "1099-0755     J9  - AQUAT CONSERV     JI  - Aquat. Conserv.-Mar. Freshw. Ecosyst."]</t>
  </si>
  <si>
    <t>1753-1757</t>
  </si>
  <si>
    <t>Copp, GH and Sayer, CD</t>
  </si>
  <si>
    <t>["Bournemouth Univ, Ctr Ecol Environm &amp; Sustainabil, Poole, Dorset, England", "Ctr Environm Fisheries &amp; Aquaculture Sci Cefas, Lowestoft, Suffolk, England", "Univ Lodz, Dept Ecol &amp; Vertebrate Zool, Lodz, Poland", "Trent Univ, Sch Environm, Peterborough, ON, Canada", "Univ Coll London UCL, Dept Geog, Pond Restorat Res Grp, Environm Change Res Ctr, London, England"]</t>
  </si>
  <si>
    <t>Times Cited in Web of Science Core Collection:  8     Total Times Cited:  9     Cited Reference Count:  33 | RAYYAN-INCLUSION: {"Philip"=&gt;"Excluded", "Aidan"=&gt;"Excluded"}</t>
  </si>
  <si>
    <t>10.1002/aqc.3353     WE  - Science Citation Index Expanded (SCI-EXPANDED)</t>
  </si>
  <si>
    <t>body condition;freshwater fish;geographical comparisons;life-history traits;pond conservation and rehabilitation;threatened species;FRESH-WATER FISH;CARP;GROWTH;PONDS;MANAGEMENT</t>
  </si>
  <si>
    <t>rayyan-164684182</t>
  </si>
  <si>
    <t>Improving scientific impact: How to practice science that influences environmental policy and management</t>
  </si>
  <si>
    <t>CONSERVATION SCIENCE AND PRACTICE</t>
  </si>
  <si>
    <t>2578-4854     J9  - CONSERV SCI PRACT     JI  - Conserv. Sci. Pract.</t>
  </si>
  <si>
    <t>Fisher, JRB and Wood, SA and Bradford, MA and Kelsey, TR</t>
  </si>
  <si>
    <t>["Pew Charitable Trusts, 901 E St NW, Washington, DC 20004 USA", "Nature Conservancy, New Haven, CT USA", "Yale Univ, Sch Forestry &amp; Environm Studies, New Haven, CT 06511 USA", "Nature Conservancy, Sacramento, CA USA"]</t>
  </si>
  <si>
    <t>Times Cited in Web of Science Core Collection:  27     Total Times Cited:  29     Cited Reference Count:  83 | RAYYAN-INCLUSION: {"Tabitha"=&gt;"Excluded"}</t>
  </si>
  <si>
    <t>10.1111/csp2.210     WE  - Science Citation Index Expanded (SCI-EXPANDED)</t>
  </si>
  <si>
    <t>applied science;decision-making;evidence;research impact;science communication;stakeholder engagement;SOIL CARBON SEQUESTRATION;OPEN ACCESS;CONSERVATION;INFORMATION;KNOWLEDGE;COMMUNITIES;UNCERTAINTY;PRINCIPLES;DECISIONS</t>
  </si>
  <si>
    <t>rayyan-164684214</t>
  </si>
  <si>
    <t>Using knowledge in a complex decision-making process - Evidence and principles from the Danish Houting project's ecosystem-based management approach</t>
  </si>
  <si>
    <t>ENVIRONMENTAL SCIENCE &amp; POLICY</t>
  </si>
  <si>
    <t>["1462-9011", "1873-6416     J9  - ENVIRON SCI POLICY     JI  - Environ. Sci. Policy"]</t>
  </si>
  <si>
    <t>53-67</t>
  </si>
  <si>
    <t>Giebels, D and van Buuren, A and Edelenbos, J</t>
  </si>
  <si>
    <t>Erasmus Univ, Dept Publ Adm, NL-3000 DR Rotterdam, Netherlands</t>
  </si>
  <si>
    <t>Times Cited in Web of Science Core Collection:  24     Total Times Cited:  26     Cited Reference Count:  56 | RAYYAN-INCLUSION: {"Tabitha"=&gt;"Included"}</t>
  </si>
  <si>
    <t>10.1016/j.envsci.2014.10.015     WE  - Science Citation Index Expanded (SCI-EXPANDED)     WE  - Social Science Citation Index (SSCI)</t>
  </si>
  <si>
    <t>Ecosystem-based management;Knowledge governance;Complex decision-making;River restoration;Effectiveness;ENVIRONMENTAL-POLICY;ADAPTIVE GOVERNANCE;SCIENCE;CHALLENGES;INTERFACE;CLIMATE;SCALE</t>
  </si>
  <si>
    <t>rayyan-164684232</t>
  </si>
  <si>
    <t>Does research information meet the needs of stakeholders? Exploring evidence selection in the global management of invasive species</t>
  </si>
  <si>
    <t>EVIDENCE &amp; POLICY</t>
  </si>
  <si>
    <t>["1744-2648", "1744-2656     J9  - EVID POLICY     JI  - Evid. Polciy"]</t>
  </si>
  <si>
    <t>37-56</t>
  </si>
  <si>
    <t>Bayliss, HR and Wilcox, A and Stewart, GB and Randall, NP</t>
  </si>
  <si>
    <t>["Harper Adams Univ Coll, Crop &amp; Environm Sci Dept, Newport, Shrops, England", "Univ York, Ctr Reviews &amp; Disseminat, York YO10 5DD, N Yorkshire, England"]</t>
  </si>
  <si>
    <t>Times Cited in Web of Science Core Collection:  36     Total Times Cited:  41     Cited Reference Count:  49 | RAYYAN-INCLUSION: {"Isobel"=&gt;"Included"}</t>
  </si>
  <si>
    <t>10.1332/174426412X620128     WE  - Social Science Citation Index (SSCI)</t>
  </si>
  <si>
    <t>biological invasions;evidence-informed decision making;research utilisation;science communication;SYSTEMATIC REVIEWS;POLICY;CONSERVATION;ECOLOGY;GAP;INTERVENTIONS;QUESTIONS;MEDICINE;EXCHANGE;SCIENCE</t>
  </si>
  <si>
    <t>rayyan-164684242</t>
  </si>
  <si>
    <t>Conservation of transnational species: The tensions between legal requirements and best scientific evidence</t>
  </si>
  <si>
    <t>3291-3310</t>
  </si>
  <si>
    <t>Pinn, EH and Macleod, K and Tasker, ML</t>
  </si>
  <si>
    <t>Univ Aberdeen, Sch Law, Taylor Bldg, Aberdeen AB24 3UB, Scotland</t>
  </si>
  <si>
    <t>Times Cited in Web of Science Core Collection:  3     Total Times Cited:  3     Cited Reference Count:  131 | RAYYAN-INCLUSION: {"Philip"=&gt;"Excluded"}</t>
  </si>
  <si>
    <t>10.1002/aqc.3693</t>
  </si>
  <si>
    <t>Article 12;bycatch;Habitats Directive;harbour porpoise;marine protected area;Special Area of Conservation;PORPOISE PHOCOENA-PHOCOENA;MARINE PROTECTED AREAS;OFFSHORE WIND FARM;HARBOR PORPOISES;POPULATION-STRUCTURE;HABITAT PREFERENCES;BALTIC SEA;NORTH-SEA;FISHERIES;WATERS</t>
  </si>
  <si>
    <t>rayyan-164684259</t>
  </si>
  <si>
    <t>Fishery systems and linkages: Implications for science and governance</t>
  </si>
  <si>
    <t>505-527</t>
  </si>
  <si>
    <t>Garcia, SM and Charles, AT</t>
  </si>
  <si>
    <t>["FAO, Fisheries &amp; Aquaculture Management Div, I-00153 Rome, Italy", "St Marys Univ, Management Sci Environm Studies, Halifax, NS B3H 3C3, Canada"]</t>
  </si>
  <si>
    <t>Times Cited in Web of Science Core Collection:  77     Total Times Cited:  93     Cited Reference Count:  146 | RAYYAN-INCLUSION: {"Nibedita"=&gt;"Excluded", "Isobel"=&gt;"Excluded"}</t>
  </si>
  <si>
    <t>10.1016/j.ocecoaman.2008.05.001     WE  - Science Citation Index Expanded (SCI-EXPANDED)     WE  - Social Science Citation Index (SSCI)     WE  - Conference Proceedings Citation Index - Science (CPCI-S)</t>
  </si>
  <si>
    <t>CAPTURE FISHERIES;MANAGEMENT;DYNAMICS;SUSTAINABILITY;UNCERTAINTY;EXPLOITATION;CONSERVATION;STRATEGIES;PRIORITIES;PARADIGMS</t>
  </si>
  <si>
    <t>rayyan-164684272</t>
  </si>
  <si>
    <t>The Evolution of Open Space Planning within a Developing, Biodiverse City (Durban, South Africa)</t>
  </si>
  <si>
    <t>SUSTAINABILITY</t>
  </si>
  <si>
    <t>2071-1050     J9  - SUSTAINABILITY-BASEL     JI  - Sustainability</t>
  </si>
  <si>
    <t>McLean, CT and Roberts, DC and Slotow, R</t>
  </si>
  <si>
    <t>["Univ Kwazulu Natal, Sch Life Sci, Pvt Bag X01, ZA-3209 Pietermaritzburg, South Africa", "Biodivers Management Dept, eThekwini Municipal, ZA-4001 Durban, South Africa", "Sustainable &amp; Resilient City Initiat Unit, eThekwini Municipal, ZA-4001 Durban, South Africa", "Univ Twente, Fac Geoinformat Sci &amp; Earth Observat, NL-7500 Enschede, Netherlands", "Univ Kwazulu Natal, Ctr Funct Biodivers, Sch Life Sci, Pvt Bag X01, ZA-3209 Pietermaritzburg, South Africa", "UCL, Dept Genet Evolut &amp; Environm, Darwin Bldg,Gower St, London WC1E 6BT, England"]</t>
  </si>
  <si>
    <t>Times Cited in Web of Science Core Collection:  2     Total Times Cited:  2     Cited Reference Count:  102 | RAYYAN-INCLUSION: {"Elina"=&gt;"Excluded"}</t>
  </si>
  <si>
    <t>10.3390/su16073073     WE  - Science Citation Index Expanded (SCI-EXPANDED)     WE  - Social Science Citation Index (SSCI)</t>
  </si>
  <si>
    <t>biodiversity mainstreaming;urban biodiversity;local government;land-use planning;eThekwini;ECOSYSTEM SERVICES;CONSERVATION;ADAPTATION;CHALLENGES;PERSPECTIVES;MITIGATION;COUNTRIES;DESIGN</t>
  </si>
  <si>
    <t>rayyan-164684408</t>
  </si>
  <si>
    <t>Are Environmental Impact Assessments effectively addressing the biodiversity issues in Brazil?</t>
  </si>
  <si>
    <t>ENVIRONMENTAL IMPACT ASSESSMENT REVIEW</t>
  </si>
  <si>
    <t>["0195-9255", "1873-6432     J9  - ENVIRON IMPACT ASSES     JI  - Environ. Impact Assess. Rev."]</t>
  </si>
  <si>
    <t>Dias, AMS and Cook, C and Massara, RL and Paglia, AP</t>
  </si>
  <si>
    <t>["Univ Fed Minas Gerais, Dept Genet Ecol &amp; Evolucao, Lab Ecol &amp; Conservacao, Belo Horizonte, MG, Brazil", "Monash Univ, Sch Biol Sci, Clayton, Vic 3800, Australia", "Inst SerraD Pesquisa &amp; Conservacao, Belo Horizonte, MG, Brazil", "Ave Presidente Antonio Carlos,N 6627,ICB,Bloco E3, BR-31270910 Belo Horizonte, MG, Brazil"]</t>
  </si>
  <si>
    <t>Times Cited in Web of Science Core Collection:  9     Total Times Cited:  10     Cited Reference Count:  78 | RAYYAN-INCLUSION: {"Philip"=&gt;"Excluded", "Nibedita"=&gt;"Maybe", "Isobel"=&gt;"Excluded"}</t>
  </si>
  <si>
    <t>10.1016/j.eiar.2022.106801</t>
  </si>
  <si>
    <t>Environmental permit;Fauna;Biological data;Environmental diagnosis;Impact evaluation;Adaptive management;TECHNICAL QUALITY;MINING PROJECTS;ATLANTIC FOREST;MAMMALS;WASTE</t>
  </si>
  <si>
    <t>rayyan-164684519</t>
  </si>
  <si>
    <t>The political ecology of gear bans in two fisheries: Florida's net ban and Alaska's Salmon wars</t>
  </si>
  <si>
    <t>FISH AND FISHERIES</t>
  </si>
  <si>
    <t>["1467-2960", "1467-2979     J9  - FISH FISH     JI  - Fish. Fish."]</t>
  </si>
  <si>
    <t>Loring, PA</t>
  </si>
  <si>
    <t>Univ Saskatchewan, Sch Environm &amp; Sustainabil, 117 Sci Pl, Saskatoon, SK S7N 5C8, Canada</t>
  </si>
  <si>
    <t>Times Cited in Web of Science Core Collection:  22     Total Times Cited:  29     Cited Reference Count:  72 | RAYYAN-INCLUSION: {"Philip"=&gt;"Excluded"}</t>
  </si>
  <si>
    <t>10.1111/faf.12169     WE  - Science Citation Index Expanded (SCI-EXPANDED)     WE  - Social Science Citation Index (SSCI)</t>
  </si>
  <si>
    <t>Commercial fisheries;conflict;environmental ethics;social justice;sport fishing;sustainability;MARINE RESERVES;COOK INLET;MANAGEMENT;FISH;SUSTAINABILITY;PRIVATIZATION;DIMENSIONS;IMPACTS;CHAOS</t>
  </si>
  <si>
    <t>rayyan-164684558</t>
  </si>
  <si>
    <t>Surveying managers to inform a regionally relevant invasive &lt;i&gt;Phragmites australis&lt;/i&gt; control research program</t>
  </si>
  <si>
    <t>JOURNAL OF ENVIRONMENTAL MANAGEMENT</t>
  </si>
  <si>
    <t>["0301-4797", "1095-8630     J9  - J ENVIRON MANAGE     JI  - J. Environ. Manage."]</t>
  </si>
  <si>
    <t>807-816</t>
  </si>
  <si>
    <t>Rohal, CB and Kettenring, KM and Sims, K and Hazelton, ELG and Ma, Z</t>
  </si>
  <si>
    <t>["Utah State Univ, Dept Watershed Sci, Logan, UT 84322 USA", "Utah State Univ, Ctr Ecol, Logan, UT 84322 USA", "Univ Tennessee, Dept Econ, Knoxville, TN 37996 USA", "Purdue Univ, Dept Forestry &amp; Nat Resources, W Lafayette, IN 47907 USA"]</t>
  </si>
  <si>
    <t>Times Cited in Web of Science Core Collection:  31     Total Times Cited:  35     Cited Reference Count:  85 | RAYYAN-INCLUSION: {"Philip"=&gt;"Excluded"}</t>
  </si>
  <si>
    <t>10.1016/j.jenvman.2017.10.049     WE  - Science Citation Index Expanded (SCI-EXPANDED)     WE  - Social Science Citation Index (SSCI)</t>
  </si>
  <si>
    <t>Invasive species;Knowledge co-production;Knowing-doing gap;Phragmites australis;Utah;Wetland restoration;GREAT-SALT-LAKE;KNOWING-DOING GAP;COMMON REED;CHESAPEAKE BAY;LANDSCAPE COMPLEXITY;CONSERVATION SCIENCE;SCIENTIFIC EVIDENCE;REPRODUCTIVE MODE;BIOTIC RESISTANCE;GENETIC DIVERSITY</t>
  </si>
  <si>
    <t>rayyan-164684570</t>
  </si>
  <si>
    <t>Canada at a crossroad: The imperative for realigning ocean policy with ocean science</t>
  </si>
  <si>
    <t>MARINE POLICY</t>
  </si>
  <si>
    <t>["0308-597X", "1872-9460     J9  - MAR POLICY     JI  - Mar. Pol."]</t>
  </si>
  <si>
    <t>53-60</t>
  </si>
  <si>
    <t>Bailey, M and Favaro, B and Otto, SP and Charles, A and Devillers, R and Metaxas, A and Tyedmers, P and Ban, NC and Mason, T and Hoover, C and Duck, TJ and Fanning, L and Milley, C and Cisneros-Montemayor, AM and Pauly, D and Cheung, WWL and Cullis-Suzuki, S and Teh, L and Sumaila, UR</t>
  </si>
  <si>
    <t>["Dalhousie Univ, Marine Affairs Program, Halifax, NS B3H 1R2, Canada", "Mem Univ Newfoundland, Sch Fisheries, Fisheries &amp; Marine Inst, St John, NF A1C 5R3, Canada", "Mem Univ Newfoundland, Dept Ocean Sci, Logy Bay, NF, Canada", "Univ British Columbia, Dept Zool, Vancouver, BC V6T 1Z4, Canada", "Univ British Columbia, Biodivers Res Ctr, Vancouver, BC V6T 1Z4, Canada", "St Marys Univ, Management Sci &amp; Environm Sci, Halifax, NS B3H 3C3, Canada", "Mem Univ Newfoundland, Dept Geog, St John, NF A1B 3X9, Canada", "Dalhousie Univ, Dept Oceanog, Halifax, NS B3H 4R2, Canada", "Sch Resource &amp; Environm Studies, Halifax, NS B3H 4R2, Canada", "Univ Victoria, Sch Environm Studies, Victoria, BC V8W 2Y2, Canada", "Univ Manitoba, Ctr Earth Observat Sci, Winnipeg, MB R3T 2N2, Canada", "Dalhousie Univ, Dept Phys &amp; Atmospher Sci, Halifax, NS B3H 4R2, Canada", "Univ British Columbia, Fisheries Ctr, Vancouver, BC V6T 1Z4, Canada", "Univ York, Dept Environm, York YO10 5D, N Yorkshire, England"]</t>
  </si>
  <si>
    <t>Times Cited in Web of Science Core Collection:  32     Total Times Cited:  35     Cited Reference Count:  82 | RAYYAN-INCLUSION: {"Carlos"=&gt;"Excluded"}</t>
  </si>
  <si>
    <t>10.1016/j.marpol.2015.10.002     WE  - Social Science Citation Index (SSCI)</t>
  </si>
  <si>
    <t>Federal policy;Fisheries Act;Canada;Ocean science;Species at Risk Act;Evidence-based policies;Marine management;Science communication;BIODIVERSITY;CONSERVATION;MANAGEMENT;PACIFIC;COASTAL;IMPACT;ACT</t>
  </si>
  <si>
    <t>rayyan-164684608</t>
  </si>
  <si>
    <t>Governmentality in evidence? Evolving rationalities of forest governance in Peru</t>
  </si>
  <si>
    <t>LAND USE POLICY</t>
  </si>
  <si>
    <t>["0264-8377", "1873-5754     J9  - LAND USE POLICY     JI  - Land Use Pol."]</t>
  </si>
  <si>
    <t>Salo, M and HiedanpÃ¤Ã¤, J and Orihuela, JC and Pinto, CAL and Vetter, JL</t>
  </si>
  <si>
    <t>["Nat Resources Inst Finland Luke, Itainen Pitkakatu 4 A, Turku 20520, Finland", "Pontifical Catholic Univ Peru, Dept Econ, Ave Univ 1810, Lima, Peru"]</t>
  </si>
  <si>
    <t>Times Cited in Web of Science Core Collection:  3     Total Times Cited:  3     Cited Reference Count:  111 | RAYYAN-INCLUSION: {"Nibedita"=&gt;"Included", "Isobel"=&gt;"Included"}</t>
  </si>
  <si>
    <t>10.1016/j.landusepol.2023.106622</t>
  </si>
  <si>
    <t>Evidence;Forest;Governance;Governmentality;Peru;Policy;EPISTEMIC COMMUNITIES;TRADE-OFFS;SCIENCE;FORMALIZATION;NEOLIBERALISM;DEFORESTATION;BIODIVERSITY;REFORM;STATE</t>
  </si>
  <si>
    <t>rayyan-164684613</t>
  </si>
  <si>
    <t>Covid-19, and the climate change and biodiversity emergencies</t>
  </si>
  <si>
    <t>SCIENCE OF THE TOTAL ENVIRONMENT</t>
  </si>
  <si>
    <t>["0048-9697", "1879-1026     J9  - SCI TOTAL ENVIRON     JI  - Sci. Total Environ."]</t>
  </si>
  <si>
    <t>Watson, R and Kundzewicz, ZW and Borrell-DamiÃ¡n, L</t>
  </si>
  <si>
    <t>["Univ East Anglia, Dept Environm, Norwich NR4 7TJ, Norfolk, England", "Poznan Univ Life Sci, Fac Environm Engn &amp; Mech Engn, Meteorol Lab, Poznan, Poland", "Sci Europe AISBL, Rue Sci 14,6th Floor, B-1040 Brussels, Belgium"]</t>
  </si>
  <si>
    <t>Times Cited in Web of Science Core Collection:  9     Total Times Cited:  8     Cited Reference Count:  20 | RAYYAN-INCLUSION: {"Matthew"=&gt;"Excluded"}</t>
  </si>
  <si>
    <t>10.1016/j.scitotenv.2022.157188</t>
  </si>
  <si>
    <t>SARS-CoV2;Climate change;Biodiversity;Science -policy interface</t>
  </si>
  <si>
    <t>rayyan-164684661</t>
  </si>
  <si>
    <t>Beware of changes: Conservation of Indo-Pacific humpback dolphins in disturbed habitats</t>
  </si>
  <si>
    <t>1775-1782</t>
  </si>
  <si>
    <t>Huang, SL and Wu, HP and Wang, XY and Peng, CW and Wang, CC</t>
  </si>
  <si>
    <t>["Guangxi Acad Sci, Guangxi Beibu Gulf Marine Res Ctr, 98 Dalin Rd, Nanning 530000, Guangxi, Peoples R China", "Beibu Gulf Univ, Coll Marine Sci, Guangxi Key Lab Beibu Gulf Marine Biodivers Conse, Qinzhou, Peoples R China", "Beibu Gulf Univ, Dept Marine Sci, Coll Marine Sci, Qinzhou, Peoples R China", "Minist Nat Resources, Inst Oceanog 3, Xiamen, Peoples R China", "Shantou Univ, Marine Biol Inst, Shantou, Peoples R China"]</t>
  </si>
  <si>
    <t>Times Cited in Web of Science Core Collection:  9     Total Times Cited:  10     Cited Reference Count:  36 | RAYYAN-INCLUSION: {"Aidan"=&gt;"Excluded"}</t>
  </si>
  <si>
    <t>10.1002/aqc.3417     WE  - Science Citation Index Expanded (SCI-EXPANDED)</t>
  </si>
  <si>
    <t>baselines;habitat configuration;habitat loss and habitat change;informed biological conservation;TAIWAN STRAIT POPULATION;NORTHERN BEIBU GULF;SOUSA-CHINENSIS;PROTECTION ACTIONS;COASTAL DELPHINID;RIVER ESTUARY;IMPACTS;MANAGEMENT;TRENDS</t>
  </si>
  <si>
    <t>rayyan-164684663</t>
  </si>
  <si>
    <t>Reflections on the influence of a synthesis of circle-hook evidence on the angling community and conservation policy and practice</t>
  </si>
  <si>
    <t>1747-1752</t>
  </si>
  <si>
    <t>Cooke, SJ and Suski, CD</t>
  </si>
  <si>
    <t>["Carleton Univ, Dept Biol, Fish Ecol &amp; Conservat Physiol Lab, Ottawa, ON, Canada", "Carleton Univ, Inst Environm &amp; Interdisciplinary Sci, Ottawa, ON, Canada", "Univ Illinois, Dept Nat Resources &amp; Environm Sci, Urbana, IL 61801 USA"]</t>
  </si>
  <si>
    <t>Times Cited in Web of Science Core Collection:  2     Total Times Cited:  3     Cited Reference Count:  30 | RAYYAN-INCLUSION: {"Philip"=&gt;"Excluded", "Aidan"=&gt;"Excluded"}</t>
  </si>
  <si>
    <t>10.1002/aqc.3318     WE  - Science Citation Index Expanded (SCI-EXPANDED)</t>
  </si>
  <si>
    <t>circle hook;fishing gear;policy impact;recreational fisheries;stakeholder adoption;KNOWLEDGE EXCHANGE;FISHERIES;SCIENCE;PERSPECTIVES;PRINCIPLES;REVIEWS;MARINE</t>
  </si>
  <si>
    <t>rayyan-164684694</t>
  </si>
  <si>
    <t>Measure it to better manage it: a biodiversity monitoring framework for the Australian rangelands</t>
  </si>
  <si>
    <t>RANGELAND JOURNAL</t>
  </si>
  <si>
    <t>["1036-9872", "1834-7541     J9  - RANGELAND J     JI  - Rangeland J."]</t>
  </si>
  <si>
    <t>239-253</t>
  </si>
  <si>
    <t>Eyre, TJ and Fisher, A and Hunt, LP and Kutt, AS</t>
  </si>
  <si>
    <t>["Queensland Herbarium, Queensland Dept Environm &amp; Resource Management, Toowong, Qld 4066, Australia", "No Terr Dept Nat Resources Environm Arts &amp; Sport, Biodivers Conservat Div, Palmerston, NT 0831, Australia", "CSIRO Ecosyst Sci, Trop Ecosystems Res Ctr, Winnellie, NT 0822, Australia", "CSIRO Ecosyst Sci, Aitkenvale, Qld 4814, Australia"]</t>
  </si>
  <si>
    <t>Times Cited in Web of Science Core Collection:  40     Total Times Cited:  44     Cited Reference Count:  110 | RAYYAN-INCLUSION: {"Philip"=&gt;"Excluded"}</t>
  </si>
  <si>
    <t>10.1071/RJ10071     WE  - Science Citation Index Expanded (SCI-EXPANDED)     WE  - Social Science Citation Index (SSCI)</t>
  </si>
  <si>
    <t>adaptive monitoring;conservation;rangeland condition;rangeland management;reference sites;KAKADU NATIONAL-PARK;NORTHERN-TERRITORY;ADAPTIVE MANAGEMENT;GRAZING RESPONSE;DESIGN ISSUES;SMALL MAMMALS;GROUND COVER;CONSERVATION;SCALE;GOVERNANCE</t>
  </si>
  <si>
    <t>rayyan-164684696</t>
  </si>
  <si>
    <t>Evaluation process for matching population models to regulatory decisions regarding threatened or endangered species by considering model risk</t>
  </si>
  <si>
    <t>INTEGRATED ENVIRONMENTAL ASSESSMENT AND MANAGEMENT</t>
  </si>
  <si>
    <t>["1551-3777", "1551-3793     J9  - INTEGR ENVIRON ASSES     JI  - Integr. Environ. Assess. Manag."]</t>
  </si>
  <si>
    <t>Spromberg, JA and Hecht, SA and Laetz, CA and Hawkes, T and Baldwin, DH</t>
  </si>
  <si>
    <t>["Northwest Fisheries Sci Ctr, Natl Marine Fisheries Serv, Environm &amp; Fisheries Sci Div, Seattle, WA 98115 USA", "Natl Marine Fisheries Serv, NMFS NWFSC Fish Ecol Div, Seattle, WA USA", "Natl Marine Fisheries Serv, Endangered Species Act Interagcy Cooperat Div, Off Protected Resources, Silver Spring, MD USA"]</t>
  </si>
  <si>
    <t>Times Cited in Web of Science Core Collection:  0     Total Times Cited:  0     Cited Reference Count:  55 | RAYYAN-INCLUSION: {"Tabitha"=&gt;"Excluded"}</t>
  </si>
  <si>
    <t>10.1093/inteam/vjae028</t>
  </si>
  <si>
    <t>population models;endangered species;decision making;model risk;PESTICIDES;SUPPORT;FISH</t>
  </si>
  <si>
    <t>rayyan-164684723</t>
  </si>
  <si>
    <t>Towards quantitative condition assessment of biodiversity outcomes: Insights from Australian marine protected areas</t>
  </si>
  <si>
    <t>183-191</t>
  </si>
  <si>
    <t>Addison, PFE and Flander, LB and Cook, CN</t>
  </si>
  <si>
    <t>["Univ Oxford, Dept Zool, Oxford OX1 3PS, England", "Australian Inst Marine Sci, Townsville, Qld 4810, Australia", "Univ Melbourne, Sch BioSci, Parkville, Vic 3010, Australia", "Univ Melbourne, Ctr Epidemiol &amp; Biostat, Parkville, Vic 3010, Australia", "Monash Univ, Sch Biol Sci, Clayton, Vic 3800, Australia"]</t>
  </si>
  <si>
    <t>Times Cited in Web of Science Core Collection:  14     Total Times Cited:  14     Cited Reference Count:  47 | RAYYAN-INCLUSION: {"Philip"=&gt;"Excluded", "Elina"=&gt;"Included", "Alec"=&gt;"Included"}</t>
  </si>
  <si>
    <t>10.1016/j.jenvman.2017.04.054     WE  - Science Citation Index Expanded (SCI-EXPANDED)     WE  - Social Science Citation Index (SSCI)</t>
  </si>
  <si>
    <t>Conservation;Long-term monitoring;Protected area management effectiveness evaluation;Evidence-based management;Reporting;GREAT-BARRIER-REEF;DECISION TRIGGERS;CONSERVATION;MANAGEMENT;THRESHOLDS;FRAMEWORK;RESERVES;SCIENCE</t>
  </si>
  <si>
    <t>rayyan-164684760</t>
  </si>
  <si>
    <t>Stable isotope approaches and opportunities for improving plant conservation</t>
  </si>
  <si>
    <t>CONSERVATION PHYSIOLOGY</t>
  </si>
  <si>
    <t>2051-1434     J9  - CONSERV PHYSIOL     JI  - Conserv. Physiol.</t>
  </si>
  <si>
    <t>Snyder, KA and Robinson, SA and Schmidt, S and Hultine, KR</t>
  </si>
  <si>
    <t>["USDA Agr Res Serv, Great Basin Rangelands Res Unit, 920 Valley Rd, Reno, NV 89512 USA", "Univ Wollongong, Sch Earth Atmospher &amp; Life Sci, Wollongong, NSW 2522, Australia", "Univ Wollongong, Securing Antarct Environm Future, Wollongong, NSW 2522, Australia", "Univ Queensland, Sch Agr &amp; Food Sci, Bldg 62, Brisbane, Qld 4075, Australia", "Desert Bot Garden, Dept Res Conservat &amp; Collect, 1201 Galvin Pkwy, Phoenix, AZ 85008 USA"]</t>
  </si>
  <si>
    <t>Times Cited in Web of Science Core Collection:  11     Total Times Cited:  11     Cited Reference Count:  181 | RAYYAN-INCLUSION: {"Iris"=&gt;"Excluded"}</t>
  </si>
  <si>
    <t>10.1093/conphys/coac056     WE  - Science Citation Index Expanded (SCI-EXPANDED)</t>
  </si>
  <si>
    <t>plant water-use efficiency;plant water sources;local adaptation;global environmental change;climate reconstruction;NATURAL-ABUNDANCE DELTA-N-15;WATER SOURCES;SUMMER PRECIPITATION;CARBON ISOTOPES;NITROGEN USE;TRANSPIRATION EFFICIENCY;PHOTOSYNTHETIC CAPACITY;PHENOTYPIC PLASTICITY;CONCEPTUAL-MODEL;ENDEMIC PLANTS</t>
  </si>
  <si>
    <t>rayyan-164684827</t>
  </si>
  <si>
    <t>An indicator framework to help maximise potential benefits for ecosystem services and biodiversity from ecological focus areas</t>
  </si>
  <si>
    <t>ECOLOGICAL INDICATORS</t>
  </si>
  <si>
    <t>["1470-160X", "1872-7034     J9  - ECOL INDIC     JI  - Ecol. Indic."]</t>
  </si>
  <si>
    <t>859-872</t>
  </si>
  <si>
    <t>Tzilivakis, J and Warner, DJ and Green, A and Lewis, KA and Angileri, V</t>
  </si>
  <si>
    <t>["Univ Hertfordshire, Sch Life &amp; Med Sci, Agr &amp; Environm Res Unit, Hatfield AL10 9AB, Herts, England", "European Commiss, Joint Res Ctr, Inst Environm &amp; Sustainabil, Ispra, Italy"]</t>
  </si>
  <si>
    <t>Times Cited in Web of Science Core Collection:  19     Total Times Cited:  21     Cited Reference Count:  83 | RAYYAN-INCLUSION: {"Philip"=&gt;"Excluded"}</t>
  </si>
  <si>
    <t>10.1016/j.ecolind.2016.04.045     WE  - Science Citation Index Expanded (SCI-EXPANDED)</t>
  </si>
  <si>
    <t>Ecological focus areas;Ecosystem services;Biodiversity;Indicator framework;AGRICULTURAL INTENSIFICATION;FARMLAND BIRDS;SOIL-EROSION;MANAGEMENT;HABITAT;AFFORESTATION;HETEROGENEITY;CONSERVATION;POPULATIONS;DECLINE</t>
  </si>
  <si>
    <t>rayyan-164684840</t>
  </si>
  <si>
    <t>Murky waters: divergent ways scientists, practitioners, and landowners evaluate beaver mimicry</t>
  </si>
  <si>
    <t>ECOLOGY AND SOCIETY</t>
  </si>
  <si>
    <t>1708-3087     J9  - ECOL SOC     JI  - Ecol. Soc.</t>
  </si>
  <si>
    <t>Pfaeffle, T and Moore, MA and Cravens, AE and McEvoy, J and Bamzai-Dodson, A</t>
  </si>
  <si>
    <t>["US Geol Survey, North Cent Climate Adaptat Sci Ctr, Reston, VA 20192 USA", "Univ Montana, Dept Soc &amp; Conservat, Missoula, MT USA", "US Geol Survey, Ft Collins Sci Ctr, Reston, VA USA", "Montana State Univ, Dept Earth Sci, Bozeman, MT USA"]</t>
  </si>
  <si>
    <t>Times Cited in Web of Science Core Collection:  6     Total Times Cited:  8     Cited Reference Count:  56 | RAYYAN-INCLUSION: {"Philip"=&gt;"Included"}</t>
  </si>
  <si>
    <t>10.5751/ES-13006-270141     WE  - Science Citation Index Expanded (SCI-EXPANDED)     WE  - Social Science Citation Index (SSCI)</t>
  </si>
  <si>
    <t>beaver dam analogs;credibility;legitimacy;political ecology;salience;unsettled science;CLIMATE-CHANGE;KNOWLEDGE;RESTORATION;DAMS</t>
  </si>
  <si>
    <t>rayyan-164684847</t>
  </si>
  <si>
    <t>INVOLVING ACADEMIC SCIENTISTS IN CONSERVATION RESEARCH - PERSPECTIVES OF A PLANT ECOLOGIST</t>
  </si>
  <si>
    <t>1051-0761     J9  - ECOL APPL     JI  - Ecol. Appl.</t>
  </si>
  <si>
    <t>209-214</t>
  </si>
  <si>
    <t>HUENNEKE, LF</t>
  </si>
  <si>
    <t>Times Cited in Web of Science Core Collection:  16     Total Times Cited:  18     Cited Reference Count:  12 | RAYYAN-INCLUSION: {"Philip"=&gt;"Excluded"}</t>
  </si>
  <si>
    <t>10.2307/1942064     WE  - Science Citation Index Expanded (SCI-EXPANDED)</t>
  </si>
  <si>
    <t>CAREERS IN ECOLOGY;CONSERVATION;PUBLIC LANDS MANAGEMENT;RARE SPECIES;RESEARCH ETHICS;RESEARCH PRIORITIES;BIOLOGY</t>
  </si>
  <si>
    <t>rayyan-164684848</t>
  </si>
  <si>
    <t>Adaptive governance good practice: Show me the evidence!</t>
  </si>
  <si>
    <t>174-184</t>
  </si>
  <si>
    <t>Sharma-Wallace, L and Velarde, SJ and Wreford, A</t>
  </si>
  <si>
    <t>["Scion New Zealand Forest Res Inst Ltd, Te Papa Tipu Innovat Pk,49 Sala St, Rotorua 3046, New Zealand", "Lincoln Univ, Agribusiness &amp; Econ Res Unit, Annex C,POB 85084, Christchurch 7647, New Zealand"]</t>
  </si>
  <si>
    <t>Times Cited in Web of Science Core Collection:  74     Total Times Cited:  86     Cited Reference Count:  97 | RAYYAN-INCLUSION: {"Isobel"=&gt;"Excluded"}</t>
  </si>
  <si>
    <t>10.1016/j.jenvman.2018.05.067     WE  - Science Citation Index Expanded (SCI-EXPANDED)     WE  - Social Science Citation Index (SSCI)</t>
  </si>
  <si>
    <t>Adaptive governance;Environmental governance;Social-ecological systems;Systematic literature review;ECOSYSTEM-BASED MANAGEMENT;SOCIAL-ECOLOGICAL SYSTEMS;MARINE GOVERNANCE;WATER GOVERNANCE;DECISION-MAKING;PROTECTED AREA;COMANAGEMENT;RESILIENCE;EXPERIENCE;KNOWLEDGE</t>
  </si>
  <si>
    <t>rayyan-164684850</t>
  </si>
  <si>
    <t>Corridors of Clarity: Four Principles to Overcome Uncertainty Paralysis in the Anthropocene</t>
  </si>
  <si>
    <t>1139-1144</t>
  </si>
  <si>
    <t>Polasky, S and Crepin, AS and Biggs, R and Carpenter, SR and Folke, C and Peterson, G and Scheffer, M and Barrett, S and Daily, G and Ehrlich, P and Howarth, RB and Hughes, T and Levin, SA and Shogren, JF and Troell, M and Walker, B and Xepapadeas, A</t>
  </si>
  <si>
    <t>["Univ Minnesota, Dept Appl Econ, Minneapolis, MN USA", "Univ Minnesota, Dept Ecol Evolut &amp; Behav, 318 Church St SE, Minneapolis, MN 55455 USA", "Beijer Inst Ecol Econ, Stockholm, Sweden", "Stellenbosch Univ, Ctr Complex Syst Transit, Stellenbosch, South Africa", "Stellenbosch Univ, Social Ecol Syst &amp; Resilience, Stellenbosch, South Africa", "Univ Wisconsin, Limnol, Madison, WI 53706 USA", "Stockholm Univ, Stockholm Resilience Ctr, Sustainabil Sci, Stockholm, Sweden", "Columbia Univ, Nat Resource Econ, New York, NY USA", "Stanford Univ, Biol, Stanford, CA 94305 USA", "Dartmouth Coll, Environm Studies, Hanover, NH 03755 USA", "James Cook Univ, Townsville, North Queenslan, Australia", "Princeton Univ, Ecol &amp; Evolutionary Biol, Princeton, NJ 08544 USA", "Wageningen Univ, Environm Sci, Wageningen, Netherlands", "Univ Wyoming, Econ, Laramie, WY 82071 USA", "CSIRO, Ecol, Canberra, ACT, Australia", "Athens Univ Econ &amp; Business, Econ, Athens, Greece", "Univ Bologna, Bologna, Italy"]</t>
  </si>
  <si>
    <t>Times Cited in Web of Science Core Collection:  16     Total Times Cited:  17     Cited Reference Count:  55 | RAYYAN-INCLUSION: {"Philip"=&gt;"Excluded"}</t>
  </si>
  <si>
    <t>10.1093/biosci/biaa115     WE  - Science Citation Index Expanded (SCI-EXPANDED)     WE  - Social Science Citation Index (SSCI)</t>
  </si>
  <si>
    <t>global environmental change;science-policy interface;sufficient evidence;uncertainty;ECOSYSTEM SERVICES;BIODIVERSITY LOSS;DECISION-MAKING;LAND-USE;WATER</t>
  </si>
  <si>
    <t>rayyan-164684929</t>
  </si>
  <si>
    <t>How well does Indian fisheries policy engage with fisheries biology? Exploring the science-policy interface of coastal capture fisheries along the west coast of India.</t>
  </si>
  <si>
    <t>Gangal, M and Suri, V and Arthur, R</t>
  </si>
  <si>
    <t>["Manipal Acad Higher Educ, Tiger Circle Rd, Manipal 576104, Karnataka, India", "Nat Conservat Fdn, Amritha 1311,12th Cross,Vijayanagara 1st stage, Mysore 570017, Karnataka, India", "Natl Ctr Biol Sci, Bengaluru 560065, Karnataka, India", "CSIC, Ctr Estudis Avancats Blanes, Blanes 17300, Spain", "Ctr Estudis Avancats Blanes, Carrer Acces Cala St Francesc 14, Blanes 17300, Girona, Spain"]</t>
  </si>
  <si>
    <t>Times Cited in Web of Science Core Collection:  2     Total Times Cited:  3     Cited Reference Count:  99 | RAYYAN-INCLUSION: {"Philip"=&gt;"Excluded"}</t>
  </si>
  <si>
    <t>10.1016/j.marpol.2023.105796</t>
  </si>
  <si>
    <t>Fish biology;Fisheries policy;Science policy interface;India;Transboundary management;POPULATION GENETIC-STRUCTURE;MARINE FISHERIES;MANAGEMENT;FISH;GOVERNANCE;RESOURCE</t>
  </si>
  <si>
    <t>rayyan-164685016</t>
  </si>
  <si>
    <t>How countries link forest monitoring into policy-making</t>
  </si>
  <si>
    <t>FOREST POLICY AND ECONOMICS</t>
  </si>
  <si>
    <t>["1389-9341", "1872-7050     J9  - FOREST POLICY ECON     JI  - Forest Policy Econ."]</t>
  </si>
  <si>
    <t>Neeff, T and Piazza, M</t>
  </si>
  <si>
    <t>Food &amp; Agr Org United Nat, Viale Terme Caracalla, I-00153 Rome, Italy</t>
  </si>
  <si>
    <t>Times Cited in Web of Science Core Collection:  7     Total Times Cited:  7     Cited Reference Count:  22 | RAYYAN-INCLUSION: {"Tabitha"=&gt;"Included"}</t>
  </si>
  <si>
    <t>10.1016/j.forpol.2020.102248     WE  - Science Citation Index Expanded (SCI-EXPANDED)     WE  - Social Science Citation Index (SSCI)</t>
  </si>
  <si>
    <t>Forest policy;Forest monitoring;Policy-making cycle;Decision-making;Evidence;Capacity development;REDD PLUS;CONSERVATION;KNOWLEDGE;CAPACITY;PROGRESS</t>
  </si>
  <si>
    <t>rayyan-164685077</t>
  </si>
  <si>
    <t>A Systematic Review of Key Factors of Effective Collaborative Governance of Social-Ecological Systems</t>
  </si>
  <si>
    <t>SOCIETY &amp; NATURAL RESOURCES</t>
  </si>
  <si>
    <t>["0894-1920", "1521-0723     J9  - SOC NATUR RESOUR     JI  - Soc. Nat. Resour."]</t>
  </si>
  <si>
    <t>1452-1470</t>
  </si>
  <si>
    <t>Kelman, CC and Brady, U and Raschke, BA and Schoon, ML</t>
  </si>
  <si>
    <t>["Arizona State Univ, Sch Sustainabil, Tempe, AZ 85281 USA", "Arizona State Univ, Sch Life Sci, Tempe, AZ USA", "Cent Arizona Conservat Alliance, Phoenix, AZ USA", "Colorado State Univ, Warner Coll Nat Resources, Ctr Collaborat Conservat, Ft Collins, CO USA"]</t>
  </si>
  <si>
    <t>Times Cited in Web of Science Core Collection:  8     Total Times Cited:  9     Cited Reference Count:  66 | RAYYAN-INCLUSION: {"Iris"=&gt;"Excluded"}</t>
  </si>
  <si>
    <t>10.1080/08941920.2023.2228234</t>
  </si>
  <si>
    <t>Collaborative governance;collaborative resource management;collective action;community-based natural resource management;co-management;institutional analysis;institutional design principles;RepOrting standards for systematic evidence synthesis (ROSES);review areas;social-ecological systems;NATURAL-RESOURCE MANAGEMENT;ADAPTIVE GOVERNANCE;FRAMEWORK;SUCCESS;COMMONS;COMANAGEMENT;INSTITUTIONS;CONSERVATION;PERFORMANCE;PRINCIPLES</t>
  </si>
  <si>
    <t>rayyan-164685094</t>
  </si>
  <si>
    <t>How evidence, implementation, policy, and politics come together within evidence systems: Lessons from South Africa</t>
  </si>
  <si>
    <t>DEVELOPMENT POLICY REVIEW</t>
  </si>
  <si>
    <t>["0950-6764", "1467-7679     J9  - DEV POLICY REV     JI  - Dev. Policy Rev."]</t>
  </si>
  <si>
    <t>Stewart, R</t>
  </si>
  <si>
    <t>Afr Evidence Network, Johannesburg, South Africa     PU  - WILEY     PI  - HOBOKEN     PA  - 111 RIVER ST, HOBOKEN 07030-5774, NJ USA</t>
  </si>
  <si>
    <t>Times Cited in Web of Science Core Collection:  0     Total Times Cited:  0     Cited Reference Count:  91 | RAYYAN-INCLUSION: {"Philip"=&gt;"Excluded"}</t>
  </si>
  <si>
    <t>10.1111/dpr.12657</t>
  </si>
  <si>
    <t>development impact;institutionalization;science-policy interface;South Africa;INCOME</t>
  </si>
  <si>
    <t>rayyan-164685236</t>
  </si>
  <si>
    <t>Conserving biodiversity takes a plan: How planners implement ecological information for biodiversity conservation</t>
  </si>
  <si>
    <t>AMBIO</t>
  </si>
  <si>
    <t>["0044-7447", "1654-7209     J9  - AMBIO     JI  - Ambio"]</t>
  </si>
  <si>
    <t>1490-1505</t>
  </si>
  <si>
    <t>GagnÃ©, SA and Bryan-Scaggs, K and Boyer, RHW and Xiang, WN</t>
  </si>
  <si>
    <t>["Univ North Carolina Charlotte, Dept Geog &amp; Earth Sci, Univ City Blvd,9201, Charlotte, NC 28223 USA", "RISE Viktoria, Lindholmen Sci Pk,Lindholmspiren 3A, S-41756 Gothenburg, Sweden"]</t>
  </si>
  <si>
    <t>Times Cited in Web of Science Core Collection:  6     Total Times Cited:  7     Cited Reference Count:  68 | RAYYAN-INCLUSION: {"Philip"=&gt;"Included"}</t>
  </si>
  <si>
    <t>10.1007/s13280-019-01281-z</t>
  </si>
  <si>
    <t>Conservation policy;Ecological guidelines;Land use planning;Socio-ecological systems;Sustainability;SUSTAINABLE DEVELOPMENT;KNOWLEDGE COPRODUCTION;SCIENTIFIC EVIDENCE;SCIENCE;MANAGEMENT;CHALLENGES;POLITICS;PROMOTE;DESIGN;CITIES</t>
  </si>
  <si>
    <t>rayyan-164685266</t>
  </si>
  <si>
    <t>Red snapper management in the Gulf of Mexico: science- or faith-based?</t>
  </si>
  <si>
    <t>REVIEWS IN FISH BIOLOGY AND FISHERIES</t>
  </si>
  <si>
    <t>["0960-3166", "1573-5184     J9  - REV FISH BIOL FISHER     JI  - Rev. Fish. Biol. Fish."]</t>
  </si>
  <si>
    <t>187-204</t>
  </si>
  <si>
    <t>Cowan, JH and Grimes, CB and Patterson, WF and Walters, CJ and Jones, AC and Lindberg, WJ and Sheehy, DJ and Pine, WE and Powers, JE and Campbell, MD and Lindeman, KC and Diamond, SL and Hilborn, R and Gibson, HT and Rose, KA</t>
  </si>
  <si>
    <t>["Louisiana State Univ, Dept Oceanog &amp; Coastal Sci, Baton Rouge, LA 70803 USA", "NOAA Fisheries, Santa Cruz Labs, SW Fisheries Sci Ctr, Santa Cruz, CA USA", "Univ W Florida, Dept Biol, Pensacola, FL 32514 USA", "Univ British Columbia, Fisheries Ctr, Vancouver, BC V5Z 1M9, Canada", "Univ Florida, Dept Fisheries &amp; Aquat Sci, Gainesville, FL USA", "Aquabio Inc, Arlington, MA USA", "Florida Inst Technol, Coll Engn, Melbourne, FL 32901 USA", "Univ Western Sydney, Sch Nat Sci, Syndey, NSW, Australia", "Univ Washington, Sch Aquat &amp; Fishery Sci, Seattle, WA 98195 USA", "N Swell Media LLC, Jensen Beach, FL USA"]</t>
  </si>
  <si>
    <t>Times Cited in Web of Science Core Collection:  92     Total Times Cited:  118     Cited Reference Count:  119 | RAYYAN-INCLUSION: {"Philip"=&gt;"Excluded"}</t>
  </si>
  <si>
    <t>10.1007/s11160-010-9165-7     WE  - Science Citation Index Expanded (SCI-EXPANDED)</t>
  </si>
  <si>
    <t>Red snapper;Faith-based fisheries;Artificial reefs;Overfishing;Historical perspective;DENSITY-DEPENDENT MORTALITY;REEF FISH POPULATIONS;LIFE-HISTORY;LUTJANUS-CAMPECHANUS;ARTIFICIAL REEFS;NATURAL MORTALITY;PETROLEUM PLATFORMS;HABITAT SELECTION;SPATIAL-PATTERNS;SITE FIDELITY</t>
  </si>
  <si>
    <t>rayyan-164685284</t>
  </si>
  <si>
    <t>Monitoring biodiversity loss in rapidly changing Afrotropical ecosystems: an emerging imperative for governance and research</t>
  </si>
  <si>
    <t>Achieng, AO and Arhonditsis, GB and Mandrak, N and Febria, C and Opaa, B and Coffey, TJ and Masese, FO and Irvine, K and Ajode, ZM and Obiero, K and Barasa, JE and Kaunda-Arara, B</t>
  </si>
  <si>
    <t>["Univ Eldoret, Dept Fisheries &amp; Aquat Sci, POB 1125-30100, Eldoret, Kenya", "Univ Toronto, Dept Phys &amp; Environm Sci, Toronto, ON M1C 1A4, Canada", "Univ Toronto Scarborough, Dept Biol Sci, Scarborough, ON M1C 1A4, Canada", "Univ Windsor, Great Lakes Inst Environm Res, Dept Integrat Biol, Windsor, ON N9B 3P4, Canada", "Natl Land Commiss, Dept Nat Resources Management, POB 44417-00100, Nairobi 00100, Kenya", "Univ Nottingham, Sch Vet Med &amp; Sci, Nottingham E12 5RD, Leics, England", "IHE Delft Inst Water Educ, Dept Water Resource &amp; Ecosyst, Westvest 7, NL-2611 AX Delft, Netherlands", "Wageningen Univ, Aquat Ecol &amp; Water Qual Management, POB 47, NL-6700 AA Wageningen, Netherlands", "African Ctr Aquat Res &amp; Educ ACARE, 2200 Commonwealth Blvd, Suite 100, Ann Arbor, MI 48105 USA", "Kenya Marine &amp; Fisheries Res Inst, Directorate Freshwater Aquaculture, POB 136-40111, Pap Onditi, Kenya"]</t>
  </si>
  <si>
    <t>Times Cited in Web of Science Core Collection:  15     Total Times Cited:  15     Cited Reference Count:  87 | RAYYAN-INCLUSION: {"Philip"=&gt;"Excluded"}</t>
  </si>
  <si>
    <t>10.1098/rstb.2022.0271     WE  - Science Citation Index Expanded (SCI-EXPANDED)</t>
  </si>
  <si>
    <t>ecosystem change;environmental degradation;biodiversity conservation;governance;policy implementation;CLIMATE-CHANGE;LAND-USE;AFRICA;SERVICES;FUTURE;POLLUTION;ECOLOGY;SCIENCE;LINKING;SYSTEMS</t>
  </si>
  <si>
    <t>rayyan-164685293</t>
  </si>
  <si>
    <t>No Evidence-Based Restoration Without a Sound Evidence Base: A Reply to Guldemond et al.</t>
  </si>
  <si>
    <t>RESTORATION ECOLOGY</t>
  </si>
  <si>
    <t>1061-2971     J9  - RESTOR ECOL     JI  - Restor. Ecol.</t>
  </si>
  <si>
    <t>158-159</t>
  </si>
  <si>
    <t>Ntshotsho, P and Reyers, B and Esler, KJ</t>
  </si>
  <si>
    <t>["Univ Stellenbosch, Dept Conservat Ecol &amp; Entomol, ZA-7602 Matieland, South Africa", "Univ Stellenbosch, Ctr Invas Biol, ZA-7602 Matieland, South Africa", "CSIR, Nat Resources &amp; Environm, ZA-7599 Stellenbosch, South Africa"]</t>
  </si>
  <si>
    <t>Times Cited in Web of Science Core Collection:  0     Total Times Cited:  0     Cited Reference Count:  9 | RAYYAN-INCLUSION: {"Philip"=&gt;"Excluded"}</t>
  </si>
  <si>
    <t>10.1111/j.1526-100X.2011.00846.x     WE  - Science Citation Index Expanded (SCI-EXPANDED)</t>
  </si>
  <si>
    <t>indicators;monitoring;restoration practitioners;systematic review;ECOLOGICAL RESTORATION;CONSERVATION</t>
  </si>
  <si>
    <t>rayyan-164685326</t>
  </si>
  <si>
    <t>Translating genomic advances into biodiversity conservation</t>
  </si>
  <si>
    <t>NATURE REVIEWS GENETICS</t>
  </si>
  <si>
    <t>["1471-0056", "1471-0064     J9  - NAT REV GENET     JI  - Nat. Rev. Genet."]</t>
  </si>
  <si>
    <t>362-373</t>
  </si>
  <si>
    <t>Hogg, CJ</t>
  </si>
  <si>
    <t>Univ Sydney, Sch Life &amp; Environm Sci, Sydney, NSW, Australia</t>
  </si>
  <si>
    <t>Times Cited in Web of Science Core Collection:  7     Total Times Cited:  7     Cited Reference Count:  157 | RAYYAN-INCLUSION: {"Philip"=&gt;"Excluded", "Aidan"=&gt;"Excluded"}</t>
  </si>
  <si>
    <t>10.1038/s41576-023-00671-0</t>
  </si>
  <si>
    <t>STRUCTURED POPULATIONS;INBREEDING DEPRESSION;ENVIRONMENTAL DNA;TASMANIAN DEVIL;GENE FLOW;HYBRIDIZATION;EVOLUTION;REVEALS;LANDSCAPE;SEQUENCE</t>
  </si>
  <si>
    <t>rayyan-164685500</t>
  </si>
  <si>
    <t>Co-managing public research in Australian fisheries through convergence-divergence processes</t>
  </si>
  <si>
    <t>259-271</t>
  </si>
  <si>
    <t>Dentoni, D and Klerkx, L</t>
  </si>
  <si>
    <t>["Wageningen Univ, Management Studies Grp, NL-6706 KN Wageningen, Netherlands", "Wageningen Univ, Knowledge Technol &amp; Innovat Grp, NL-6706 KN Wageningen, Netherlands"]</t>
  </si>
  <si>
    <t>Times Cited in Web of Science Core Collection:  11     Total Times Cited:  12     Cited Reference Count:  56 | RAYYAN-INCLUSION: {"Philip"=&gt;"Excluded"}</t>
  </si>
  <si>
    <t>10.1016/j.marpol.2015.07.001     WE  - Social Science Citation Index (SSCI)</t>
  </si>
  <si>
    <t>Participatory research;Co-management;Ecosystem-based approach;Convergence;Divergence;Innovation;Australia;RESEARCH-AND-DEVELOPMENT;TRANSDISCIPLINARY RESEARCH;AGRICULTURAL-RESEARCH;GOVERNANCE STRUCTURE;VALUE CHAINS;MANAGEMENT;KNOWLEDGE;FRAMEWORK;MARKET;ORGANIZATIONS</t>
  </si>
  <si>
    <t>rayyan-164685552</t>
  </si>
  <si>
    <t>Framing the change and changing frames: Tensions in participative strategy developmentPalabras Clave(sic)(sic)(sic)</t>
  </si>
  <si>
    <t>POLITICS &amp; POLICY</t>
  </si>
  <si>
    <t>["1555-5623", "1747-1346     J9  - POLITICS POLICY     JI  - Politics Policy"]</t>
  </si>
  <si>
    <t>81-113</t>
  </si>
  <si>
    <t>Zimmermann, A and Kenter, JO</t>
  </si>
  <si>
    <t>["Loughborough Univ, Sch Business &amp; Econ, Loughborough, England", "Ecologos Res Ltd, Aberystwyth, Wales", "Aberystwyth Business Sch, Aberystwyth, Wales", "Univ York, Dept Environm &amp; Geog, York, England"]</t>
  </si>
  <si>
    <t>Times Cited in Web of Science Core Collection:  6     Total Times Cited:  6     Cited Reference Count:  71 | RAYYAN-INCLUSION: {"Carlos"=&gt;"Excluded"}</t>
  </si>
  <si>
    <t>10.1111/polp.12518</t>
  </si>
  <si>
    <t>co-creation;collaborative governance;co-production;decision making;deliberative monetary valuation;ecosystem services;England Peat Action Plan;environmental sustainability;framing;open strategy;participation;participative strategy development;public policy;stakeholder engagement;stakeholders;ECOSYSTEM SERVICES;CO-CREATION;STAKEHOLDER;GOVERNANCE;MANAGEMENT;INNOVATION;FIELD</t>
  </si>
  <si>
    <t>rayyan-164685594</t>
  </si>
  <si>
    <t>Policy-driven versus evidence-based conservation: A review of political targets and biological needs</t>
  </si>
  <si>
    <t>989-995</t>
  </si>
  <si>
    <t>Svancara, LK and Brannon, R and Scott, JM and Groves, CR and Noss, RF and Pressey, RL</t>
  </si>
  <si>
    <t>["Univ Idaho, Dept Fish &amp; Wildlife, Moscow, ID 83844 USA", "Natl Pk Serv, Upper Columbia Basin Network, Moscow, ID 83844 USA", "Univ Idaho, Dept Conservat Social Sci, Moscow, ID 83844 USA", "US Geol Survey, Moscow, ID 83844 USA", "Wildlife Conservat Soc, Bozeman, MT 59715 USA", "Univ Cent Florida, Dept Biol, Orlando, FL 32816 USA"]</t>
  </si>
  <si>
    <t>Times Cited in Web of Science Core Collection:  209     Total Times Cited:  232     Cited Reference Count:  50 | RAYYAN-INCLUSION: {"Philip"=&gt;"Excluded", "Aidan"=&gt;"Excluded"}</t>
  </si>
  <si>
    <t>10.1641/0006-3568(2005)055[0989:PVECAR]2.0.CO;2     WE  - Science Citation Index Expanded (SCI-EXPANDED)</t>
  </si>
  <si>
    <t>biodiversity;conservation goals;conservation targets;policy;science;BIODIVERSITY CONSERVATION;SELECTION ALGORITHMS;RESERVE SELECTION;PROTECTED AREAS;POPULATION;HABITAT;EXTINCTION;LANDSCAPE;RECOVERY;NETWORKS</t>
  </si>
  <si>
    <t>rayyan-164685619</t>
  </si>
  <si>
    <t>Key attributes for effective knowledge brokering at the interface of environmental science and management</t>
  </si>
  <si>
    <t>SUSTAINABILITY SCIENCE</t>
  </si>
  <si>
    <t>["1862-4065", "1862-4057     J9  - SUSTAIN SCI     JI  - Sustain. Sci."]</t>
  </si>
  <si>
    <t>117-133</t>
  </si>
  <si>
    <t>Karcher, DB and Cvitanovic, C and Colvin, RM and van Putten, I and Pozza, RD and Posner, S</t>
  </si>
  <si>
    <t>["Australian Natl Univ, Australian Natl Ctr Publ Awareness Sci, Canberra, ACT, Australia", "Univ New South Wales, Sch Business, Canberra, ACT, Australia", "Univ New South Wales, Ctr Marine Sci &amp; Innovat, Canberra, Australia", "Australian Natl Univ, Crawford Sch Publ Policy, Canberra, ACT, Australia", "CSIRO Environm, Hobart, Tas, Australia", "Univ Tasmania, Ctr Marine Socioecol, Hobart, Tas, Australia", "Univ Tasmania, Hobart, Tas, Australia", "Garrison Inst, Garrison, NY USA"]</t>
  </si>
  <si>
    <t>Times Cited in Web of Science Core Collection:  1     Total Times Cited:  1     Cited Reference Count:  102 | RAYYAN-INCLUSION: {"Sarah"=&gt;"Included"}</t>
  </si>
  <si>
    <t>10.1007/s11625-024-01575-6</t>
  </si>
  <si>
    <t>Evidence-informed decision-making;Knowledge networks;Research impact;Boundary spanning;Knowledge broker;Science-policy interface;BOUNDARY SPANNERS;MANAGING TRUST;CLIMATE-CHANGE;HEALTH POLICY;PUBLIC-HEALTH;EXCHANGE;SUSTAINABILITY;NETWORKING;IMPACT;CONSERVATION</t>
  </si>
  <si>
    <t>rayyan-164685735</t>
  </si>
  <si>
    <t>Challenges and Solutions for Forest Biodiversity Conservation in Sweden: Assessment of Policy, Implementation Outputs, and Consequences</t>
  </si>
  <si>
    <t>Angelstam, P and Bush, T and Manton, M</t>
  </si>
  <si>
    <t>["Swedish Univ Agr Sci SLU, Fac Forest Sci, Sch Forest Management, SE-73921 Skinnskatteberg, Sweden", "Inland Norway Univ Appl Sci, Fac Appl Ecol Agr Sci &amp; Biotechnol, N-2480 Evenstad, Norway", "Mapping Specialists, 3000 Cahill Main,Suite 202, Fitchburg, WI 53711 USA", "Vytautas Magnus Univ, Fac Forest Sci &amp; Ecol, Studentu St 13, LT-53362 Akademija, Lithuania"]</t>
  </si>
  <si>
    <t>Times Cited in Web of Science Core Collection:  6     Total Times Cited:  6     Cited Reference Count:  467 | RAYYAN-INCLUSION: {"Philip"=&gt;"Excluded"}</t>
  </si>
  <si>
    <t>10.3390/land12051098     WE  - Social Science Citation Index (SSCI)</t>
  </si>
  <si>
    <t>connectivity;disturbance regimes;forest policy;green infrastructure;habitat network;multi-functional landscape;nature restoration;protected areas;social system;spatial planning;WOODLAND KEY HABITATS;OLD-GROWTH FORESTS;SOCIAL-ECOLOGICAL SYSTEMS;WHITE-BACKED WOODPECKER;GREEN-TREE RETENTION;DEAD WOOD;ECOSYSTEM SERVICES;INTENSIVE FORESTRY;NORTHERN EUROPE;STAKEHOLDERS PERCEPTIONS</t>
  </si>
  <si>
    <t>rayyan-164685758</t>
  </si>
  <si>
    <t>Towards better practices of salvage logging for reducing the ecosystem impacts in Mediterranean burned forests</t>
  </si>
  <si>
    <t>IFOREST-BIOGEOSCIENCES AND FORESTRY</t>
  </si>
  <si>
    <t>1971-7458     J9  - IFOREST     JI  - iForest</t>
  </si>
  <si>
    <t>360-368</t>
  </si>
  <si>
    <t>Pons, P and Rost, J and Tobella, C and Puig-Girones, R and Bas, JM and Franch, M and Mauri, E</t>
  </si>
  <si>
    <t>["Univ Girona, Dept Ciencies Ambientals, Girona 17003, Catalonia, Spain", "Univ Vic, Univ Cent Catalunya, Dept Biociencies, Vic 08500, Catalonia, Spain", "European Forest Inst, Mediterranean Facil, Barcelona 08025, Catalonia, Spain"]</t>
  </si>
  <si>
    <t>Times Cited in Web of Science Core Collection:  5     Total Times Cited:  6     Cited Reference Count:  52 | RAYYAN-INCLUSION: {"Philip"=&gt;"Excluded"}</t>
  </si>
  <si>
    <t>10.3832/ifor3380-013     WE  - Science Citation Index Expanded (SCI-EXPANDED)</t>
  </si>
  <si>
    <t>Biodiversity;Ecosystem Services;Evidence-based Management;Salvage Logging;Sustainable Logging;Wildfires;POSTFIRE MANAGEMENT;PINE;REGENERATION;RESTORATION;ASSEMBLAGES;DISTURBANCE;DEBRIS;PILES</t>
  </si>
  <si>
    <t>rayyan-164685763</t>
  </si>
  <si>
    <t>Knowledge sharing for shared success in the decade on ecosystem restoration</t>
  </si>
  <si>
    <t>ECOLOGICAL SOLUTIONS AND EVIDENCE</t>
  </si>
  <si>
    <t>2688-8319     J9  - ECOL SOLUT EVID     JI  - Ecol. Solut. Evid.</t>
  </si>
  <si>
    <t>Ladouceur, E and Shackelford, N and Bouazza, K and Brudvig, L and Bucharova, A and Conradi, T and Erickson, TE and Garbowski, M and Garvy, K and Harpole, WS and Jones, HP and Knight, T and Nsikani, MM and Paterno, G and Suding, K and Temperton, VM and TÃ¶rÃ¶k, P and Winkler, DE and Chase, JM</t>
  </si>
  <si>
    <t>["German Ctr Integrat Biodivers Res iDiv, Biodivers Synth &amp; Physiol Divers, Puschstr 4, D-04103 Leipzig, Germany", "Univ Leipzig, Dept Biol, Leipzig, Germany", "UFZ Helmholtz Ctr Environm Res, Dept Physiol Divers, Leipzig, Germany", "Univ Victoria, Sch Environm Studies, Victoria, BC, Canada", "Lebanon Reforestat Initiat, Beirut, Lebanon", "Michigan State Univ, Dept Plant Biol, E Lansing, MI 48824 USA", "Philipps Univ Marburg, Dept Biol, Marburg, Germany", "Univ Bayreuth, Dept Plant Ecol, Bayreuth, Germany", "Univ Western Australia, Sch Biol Sci, Perth, WA, Australia", "Perth Bot Gardens &amp; Pk, Kings Pk Sci, Dept Biodivers Conservat &amp; Attract Perth, Perth, WA, Australia", "Upstate, Durham, NC USA", "Martin Luther Univ Halle Wittenberg, Inst Biol, Halle, Germany", "Northern Illinois Univ, Dept Biol Sci, De Kalb, IL 60115 USA", "Northern Illinois Univ, Inst Study Environm Sustainabil &amp; Energy, De Kalb, IL 60115 USA", "South African Natl Biodivers Inst, Kirstenbosch Res Ctr, Cape Town, South Africa", "Stellenbosch Univ, DST NRF Ctr Excellence Invas Biol, Dept Bot &amp; Zool, Matieland, South Africa", "Univ Gottingen, Biodivers Macroecol &amp; Biogeog, Gottingen, Germany", "Tech Univ Munich, Sch Life Sci, Munich, Germany", "Univ Colorado, Ecol &amp; Evolutionary Biol, Boulder, CO 80309 USA", "Leuphana Univ Luneburg, Fac Sustainabil, Inst Ecol, Luneburg, Germany", "Univ Debrecen, Dept Ecol, Debrecen, Hungary", "US Geol Survey, Southwest Biol Sci Ctr, Moab, UT USA", "Martin Luther Univ Halle Wittenberg, Inst Comp Sci, Halle, Germany"]</t>
  </si>
  <si>
    <t>Times Cited in Web of Science Core Collection:  24     Total Times Cited:  24     Cited Reference Count:  56 | RAYYAN-INCLUSION: {"Philip"=&gt;"Excluded", "Carlos"=&gt;"Excluded", "Elina"=&gt;"Excluded"}</t>
  </si>
  <si>
    <t>10.1002/2688-8319.12117     WE  - Emerging Sources Citation Index (ESCI)</t>
  </si>
  <si>
    <t>data synthesis;dissemination;ecological restoration;evidence-based knowledge;networks;open data;practitioner-scientist collaboration;restoration ecology;ECOLOGICAL RESTORATION;BIODIVERSITY;SCIENCE;DIVERSITY;SUPPORT;RISE;NEED</t>
  </si>
  <si>
    <t>rayyan-164685869</t>
  </si>
  <si>
    <t>Improving collaboration in the implementation of global biodiversity conventions</t>
  </si>
  <si>
    <t>821-831</t>
  </si>
  <si>
    <t>von Bieberstein, KR and Sattout, E and Christensen, M and Pisupati, B and Burgess, ND and Harrison, J and Geldmann, J</t>
  </si>
  <si>
    <t>["UN Environm World Conservat Monitoring Ctr UNEP W, 219 Huntingdon Rd, Cambridge CB3 0DL, England", "UNESCO Reg Bur Sci Arab States, Cairo, Egypt", "UN Environm, Law Div UNEP DELC, POB 33552, Nairobi, Kenya", "Univ Copenhagen, Nat Hist Museum Denmark, Ctr Macroecol Evolut &amp; Climate, Univ Pk 15, DK-2100 Copenhagen E, Denmark", "Univ Cambridge, Dept Zool, Conservat Sci Grp, Downing St, Cambridge CB2 3EJ, England"]</t>
  </si>
  <si>
    <t>Times Cited in Web of Science Core Collection:  19     Total Times Cited:  20     Cited Reference Count:  24 | RAYYAN-INCLUSION: {"Elina"=&gt;"Excluded", "Alec"=&gt;"Excluded"}</t>
  </si>
  <si>
    <t>10.1111/cobi.13252     WE  - Science Citation Index Expanded (SCI-EXPANDED)</t>
  </si>
  <si>
    <t>Aichi Targets;Convention on Biological Diversity;multilateral environmental agreements;national biodiversity strategies;national biodiversity action plan;politics;policy;strategic plan for biodiversity;CONSERVATION</t>
  </si>
  <si>
    <t>rayyan-164685887</t>
  </si>
  <si>
    <t>The Ocean and Cryosphere in a Changing Climate in Latin America: Knowledge Gaps and the Urgency to Translate Science Into Action</t>
  </si>
  <si>
    <t>FRONTIERS IN CLIMATE</t>
  </si>
  <si>
    <t>2624-9553     J9  - FRONT CLIM     JI  - Front. Clim.</t>
  </si>
  <si>
    <t>Muelbert, MMC and Copertino, M and da Cunha, LC and Lewis, MN and Polejack, A and PeÃ±a-Puch, AD and Rivera-Arriaga, E</t>
  </si>
  <si>
    <t>["Univ Fed Sao Paulo UNIFESP, Inst Mar, Santos, Brazil", "Univ Fed Rio Grande FURG, Inst Oceanog, Rio Grande, Brazil", "Brazilian Network Global Climate Change Res Rede C, Sao Jose Dos Campos, Brazil", "Univ Estado Rio de Janeiro UERJ, Programa Posgrad Oceanog, Fac Oceanog, Rio De Janeiro, Brazil", "Consejo Nacl Invest Cient &amp; Tecn CONICET, Buenos Aires, Argentina", "Consejo Nacl Invest Cient &amp; Tecn, Ctr Estudio Sistemas Marinos CESIMAR, Ctr Nacl Patagon CENPAT, Buenos Aires, Argentina", "Ctr Invest &amp; Transferencia Golfo San Jorge, Comodoro Rivadavia, Argentina", "World Maritime Univ WMU, Sasakawa Global Ocean Inst, Malmo, Sweden", "Minist Ciencia Tecnol &amp; Inovacoes, Brasilia, Brazil", "Univ Autonoma Campeche, Inst Ecol Pesquerias &amp; Oceanog Golfo Mexico EPOMEX, Campeche, Mexico"]</t>
  </si>
  <si>
    <t>Times Cited in Web of Science Core Collection:  5     Total Times Cited:  6     Cited Reference Count:  81 | RAYYAN-INCLUSION: {"Sarah"=&gt;"Excluded"}</t>
  </si>
  <si>
    <t>10.3389/fclim.2021.748344     WE  - Emerging Sources Citation Index (ESCI)</t>
  </si>
  <si>
    <t>climate change;SROCC;local knowledge;policy makers;Latin America;DRAKE PASSAGE;OBSERVING SYSTEM;RESEARCH NETWORK;COASTAL;IMPACTS;ACIDIFICATION;DIPLOMACY;POLICY</t>
  </si>
  <si>
    <t>rayyan-164685963</t>
  </si>
  <si>
    <t>Designing an optimal large-scale reintroduction plan for a critically endangered species</t>
  </si>
  <si>
    <t>JOURNAL OF APPLIED ECOLOGY</t>
  </si>
  <si>
    <t>["0021-8901", "1365-2664     J9  - J APPL ECOL     JI  - J. Appl. Ecol."]</t>
  </si>
  <si>
    <t>453-462</t>
  </si>
  <si>
    <t>Canessa, S and Salgado-Rojas, J and Villero, D and Brotons, L and Amat, F and Guinart, D and SolÃ³rzano, S and LÃ³pez, L and Comas, X and Hermoso, V</t>
  </si>
  <si>
    <t>["Univ Bern, Inst Ecol &amp; Evolut, Div Conservat Biol, Baltzerstr 6, CH-3012 Bern, Switzerland", "Univ Politecn Cataluna, Dept Stat &amp; Operat Res, Barcelona, Spain", "Ctr Ciencia &amp; Tecnol Forestal Catalunya CTFC, Lleida, Spain", "CREAF, Barcelona, Spain", "CSIC, Barcelona, Spain", "Museu Granollers Ciencies Nat, Area Herpetol, BiBIO, Catalonia, Spain", "Diputacio Barcelona, Serv Gestio Parcs Nat, Barcelona, Spain"]</t>
  </si>
  <si>
    <t>Times Cited in Web of Science Core Collection:  2     Total Times Cited:  2     Cited Reference Count:  63 | RAYYAN-INCLUSION: {"Philip"=&gt;"Excluded"}</t>
  </si>
  <si>
    <t>10.1111/1365-2664.14345</t>
  </si>
  <si>
    <t>captive breeding;decision-making;integer linear programming;monitoring;survival;translocation;ADAPTIVE MANAGEMENT;SCIENTIFIC EVIDENCE;CONSERVATION;DENSITY;TRANSLOCATION;POPULATIONS;CHALLENGES;STRATEGIES;VIABILITY;PROGRAMS</t>
  </si>
  <si>
    <t>rayyan-164686031</t>
  </si>
  <si>
    <t>Understanding the Impacts of Research Synthesis</t>
  </si>
  <si>
    <t>72-84</t>
  </si>
  <si>
    <t>Wyborn, C and Louder, E and Harrison, J and Montambault, J and Montana, J and Ryan, M and Bednarek, A and NesshÃ¶ver, C and Pullin, A and Reed, M and Dellecker, E and Kramer, J and Boyd, J and Dellecker, A and Hutton, J</t>
  </si>
  <si>
    <t>["IUCN Conservat Ctr, Luc Hoffmann Inst, Rue Mauverney 28, CH-1196 Gland, Switzerland", "Univ Montana, Dept Soc &amp; Conservat, 32 Campus Dr, Missoula, MT 59801 USA", "UN Environm World Conservat Monitoring Ctr UNEP W, 291 Huntingdon Rd, Cambridge CBD 0DL, England", "Nature Conservancy, Sci Nat &amp; People Partnership, 1815 N Lynn St, Arlington, VA USA", "Univ Queensland, Sch Earth &amp; Environm Sci, Brisbane, Qld, Australia", "Univ Sheffield, Dept Polit, Northumberland Rd, Sheffield S10 2TU, S Yorkshire, England", "Univ Cambridge, Conservat Res Inst, David Attenborough Bldg,Pembroke St, Cambridge, England", "Lenfest Ocean Program &amp; Pew Charitable Trusts, 901 E St NW, Washington, DC 20004 USA", "UFZ Helmholtz Ctr Environm Res, Dept Conservat Biol, Permoserstr 15, D-03418 Leipzig, Germany", "Bangor Univ, Sch Environm Nat Resources &amp; Geog, Ctr Evidence Based Conservat, Bangor, Gwynedd, Wales", "Newcastle Univ, Sch Nat &amp; Environm Sci, Agr Bldg, Newcastle Upon Tyne NE1 7RU, Tyne &amp; Wear, England", "Univ Maryland, Natl Socioenvironm Synth Ctr, Annapolis, MD USA"]</t>
  </si>
  <si>
    <t>Times Cited in Web of Science Core Collection:  38     Total Times Cited:  48     Cited Reference Count:  73 | RAYYAN-INCLUSION: {"Iris"=&gt;"Excluded"}</t>
  </si>
  <si>
    <t>10.1016/j.envsci.2018.04.013     WE  - Science Citation Index Expanded (SCI-EXPANDED)     WE  - Social Science Citation Index (SSCI)</t>
  </si>
  <si>
    <t>Synthesis research;Science policy interface;Credibility;Salience;Legitimacy;Research impact;GLOBAL ENVIRONMENTAL ASSESSMENTS;TRANSDISCIPLINARY SYNTHESIS;ECOSYSTEM SCIENCE;POLICY;KNOWLEDGE;FRAMEWORK;BIODIVERSITY;ADAPTATION;MANAGEMENT;SYSTEMS</t>
  </si>
  <si>
    <t>rayyan-164686099</t>
  </si>
  <si>
    <t>Co-producing theory of change to operationalize integrated landscape approaches</t>
  </si>
  <si>
    <t>839-855</t>
  </si>
  <si>
    <t>Reed, J and Chervier, C and Borah, JR and Gumbo, D and Moombe, KB and Mbanga, TM and O'Connor, A and Siangulube, F and Yanou, M and Sunderland, T</t>
  </si>
  <si>
    <t>["Ctr Int Forestry Res, Bogor, Indonesia", "Univ East Anglia, Sch Int Dev, Norwich Res Pk, Norwich, Norfolk, England", "Ctr Cooperat Int Rech Agron Dev CIRAD, Montpellier, France", "Univ British Columbia, Fac Forestry, Vancouver, BC, Canada", "Ctr Int Forestry Res, Lusaka, Zambia", "Univ Zambia, Dept Geog &amp; Environm Studies, Lusaka, Zambia", "Univ Amsterdam, Ctr Social Sci Res CSSR, Amsterdam, Netherlands"]</t>
  </si>
  <si>
    <t>Times Cited in Web of Science Core Collection:  18     Total Times Cited:  18     Cited Reference Count:  74 | RAYYAN-INCLUSION: {"Philip"=&gt;"Excluded"}</t>
  </si>
  <si>
    <t>10.1007/s11625-022-01190-3</t>
  </si>
  <si>
    <t>Environmental governance;Conservation and development trade-offs;Natural resource management;Knowledge co-production;Sustainability science;Transdisciplinarity;MULTILEVEL GOVERNANCE;ENVIRONMENTAL-ISSUES;CONSERVATION;AGRICULTURE;INITIATIVES;POWER;PARTICIPATION;PERCEPTIONS</t>
  </si>
  <si>
    <t>rayyan-164686118</t>
  </si>
  <si>
    <t>The need for speed in a crisis discipline: perspectives on peer-review duration and implications for conservation science</t>
  </si>
  <si>
    <t>ENDANGERED SPECIES RESEARCH</t>
  </si>
  <si>
    <t>["1863-5407", "1613-4796     J9  - ENDANGER SPECIES RES     JI  - Endanger. Species Res."]</t>
  </si>
  <si>
    <t>Cooke, SJ and Nguyen, VM and Wilson, ADM and Donaldson, MR and Gallagher, AJ and Hammerschlag, N and Haddaway, NR</t>
  </si>
  <si>
    <t>["Carleton Univ, Dept Biol, Fish Ecol &amp; Conservat Physiol Lab, 1125 Colonel By Dr, Ottawa, ON K1S 5B6, Canada", "Carleton Univ, Canadian Ctr Evidence Based Conservat &amp; Environm, Inst Environm Sci, Ottawa, ON K1S 5B6, Canada", "Deakin Univ, Sch Life &amp; Environm Sci, Burwood, Vic 3125, Australia", "Univ Miami, Shark Res &amp; Conservat Program, 4600 Rickenbacker Causeway, Miami, FL 33149 USA", "Univ Miami, Abess Ctr Ecosyst Sci &amp; Policy, 1365 Mem Dr, Miami, FL 33146 USA", "Royal Swedish Acad Sci, Mistra Council Evidence Based Environm Management, S-10405 Stockholm, Sweden"]</t>
  </si>
  <si>
    <t>Times Cited in Web of Science Core Collection:  10     Total Times Cited:  10     Cited Reference Count:  23 | RAYYAN-INCLUSION: {"Alice"=&gt;"Included"}</t>
  </si>
  <si>
    <t>10.3354/esr00721     WE  - Science Citation Index Expanded (SCI-EXPANDED)</t>
  </si>
  <si>
    <t>Peer review;Conservation;Scientific publishing;Biodiversity;Science communication;Science dissemination;Journal editor;Referee;ENVIRONMENTAL-MANAGEMENT;SCIENTIFIC EVIDENCE;BIOLOGY;GAP;IMPLEMENTATION;PRACTITIONERS</t>
  </si>
  <si>
    <t>rayyan-164686270</t>
  </si>
  <si>
    <t>Practitioners' perspectives on the enablers and barriers to successful Antarctic science-policy knowledge exchange</t>
  </si>
  <si>
    <t>ENVIRONMENTAL POLICY AND GOVERNANCE</t>
  </si>
  <si>
    <t>["1756-932X", "1756-9338     J9  - ENVIRON POLICY GOV     JI  - Environ. Policy Gov."]</t>
  </si>
  <si>
    <t>Gardiner, NB and Liggett, D and Gilbert, N and Cvitanovic, C</t>
  </si>
  <si>
    <t>["Univ Canterbury, Ctr Antarctic Studies &amp; Res, Sch Earth &amp; Environm, Gateway Antarctica, Private Bag 4800, Christchurch 8140, New Zealand", "Antarctica New Zealand, Christchurch, New Zealand", "Constantia Consulting Ltd, Christchurch, New Zealand", "Univ New South Wales, Sch Business, Canberra, ACT, Australia", "Univ New South Wales, Ctr Marine Sci &amp; Innovat, Sydney, Australia"]</t>
  </si>
  <si>
    <t>Times Cited in Web of Science Core Collection:  0     Total Times Cited:  0     Cited Reference Count:  130 | RAYYAN-INCLUSION: {"Carlos"=&gt;"Included"}</t>
  </si>
  <si>
    <t>10.1002/eet.2143</t>
  </si>
  <si>
    <t>boundary spanning;capacity building;co-production;environmental governance;science-policy interface;success;ENVIRONMENTAL SCIENCE;CLIMATE-CHANGE;MANAGING TRUST;INTERFACE;CONSERVATION;GOVERNANCE;COPRODUCTION;UNCERTAINTY;SCIENTISTS;MANAGEMENT</t>
  </si>
  <si>
    <t>rayyan-164686275</t>
  </si>
  <si>
    <t>Taking knowledge exchange to practice: A scoping review of practical case studies to identify enablers of success in environmental management</t>
  </si>
  <si>
    <t>Kapoor, T and Cvitanovic, C and Klenk, K and Nguyen, VM</t>
  </si>
  <si>
    <t>["Carleton Univ, Dept Biol, Ottawa, ON, Canada", "Univ New South Wales, Sch Business, Canberra, Australia", "Univ New South Wales, Ctr Marine Sci &amp; Innovat, Kensington, Australia", "McGill Univ, Fac Arts, Montreal, PQ, Canada", "Carleton Univ, Inst Environm &amp; Interdisciplinary Sci, Ottawa, ON, Canada"]</t>
  </si>
  <si>
    <t>Times Cited in Web of Science Core Collection:  1     Total Times Cited:  1     Cited Reference Count:  103 | RAYYAN-INCLUSION: {"Philip"=&gt;"Excluded", "Nibedita"=&gt;"Excluded"}</t>
  </si>
  <si>
    <t>10.1002/eet.2128</t>
  </si>
  <si>
    <t>boundary objects;boundary organizations;evidence-based practice;knowledge broker;knowledge mobilization;knowledge transfer;science communication;science policy;SCIENCE-POLICY INTERFACE;CONSERVATION SCIENCE;DECISION-MAKING;MANAGING TRUST;IMPACT;STAKEHOLDER;COPRODUCTION;CANADA;ORGANIZATIONS;PERSPECTIVES</t>
  </si>
  <si>
    <t>rayyan-164686280</t>
  </si>
  <si>
    <t>Process and Contextual Factors Supporting Action-Oriented Learning: A Thematic Synthesis of Empirical Literature in Natural Resource Management</t>
  </si>
  <si>
    <t>731-750</t>
  </si>
  <si>
    <t>Suskevics, M and Hahn, T and Rodela, R</t>
  </si>
  <si>
    <t>["Stockholm Univ, Stockholm Resilience Ctr, Kraftriket 2B, SE-10691 Stockholm, Sweden", "Estonian Univ Life Sci, Inst Agr &amp; Environm Sci, Tartu, Estonia", "Sodertorn Univ, Sch Nat Sci Technol &amp; Environm Studies, Huddinge, Sweden", "Wageningen Univ, Lab Geoinformat Sci &amp; Remote Sensing, Wageningen, Netherlands"]</t>
  </si>
  <si>
    <t>Times Cited in Web of Science Core Collection:  25     Total Times Cited:  26     Cited Reference Count:  91 | RAYYAN-INCLUSION: {"Elina"=&gt;"Excluded"}</t>
  </si>
  <si>
    <t>10.1080/08941920.2019.1569287     WE  - Social Science Citation Index (SSCI)</t>
  </si>
  <si>
    <t>Ecosystem governance;intermediaries;qualitative review;social-ecological systems;social learning;structural constraints;ADAPTIVE COMANAGEMENT;WATER GOVERNANCE;RIVER-BASIN;FLOOD RISK;KNOWLEDGE;POLICY;IMPLEMENTATION;CLIMATE;RESILIENCE;COMMUNITY</t>
  </si>
  <si>
    <t>rayyan-164686324</t>
  </si>
  <si>
    <t>Between biodiversity conservation and sustainable forest management - A multidisciplinary assessment of the emblematic Bialowieza Forest case</t>
  </si>
  <si>
    <t>BIOLOGICAL CONSERVATION</t>
  </si>
  <si>
    <t>["0006-3207", "1873-2917     J9  - BIOL CONSERV     JI  - Biol. Conserv."]</t>
  </si>
  <si>
    <t>Blicharska, M and Angelstam, P and Giessen, L and Hilszczanski, J and Hermanowicz, E and Holeksa, J and Jacobsen, JB and Jaroszewicz, B and Konczal, A and Konieczny, A and Mikusinski, G and Mirek, Z and Mohren, F and Muys, B and Niedzialkowski, K and Sotirov, M and Sterenczak, K and Szwagrzyk, J and Winder, GM and Witkowski, Z and Zaplata, R and Winkel, G</t>
  </si>
  <si>
    <t>["Uppsala Univ, Dept Earth Sci, Nat Resources &amp; Sustainable Dev, Uppsala, Sweden", "Swedish Univ Agr Sci, Fac Forest Sci, Sch Forest Management, POB 43, SE-73921 Skinnskatteberg, Sweden", "European Forest Inst, Bonn, Germany", "Forest Res Inst, Dept Forest Protect, Sekocin Stary, Poland", "Adam Mickiewicz Univ, Fac Biol, Dept Plant Ecol &amp; Protect Environm, Poznan, Poland", "Univ Copenhagen, Ctr Macroecol Evolut &amp; Climate, Dept Food &amp; Resource Econ, Copenhagen, Denmark", "Univ Warsaw, Fac Biol, Bia Owie Geobot Stn, Bialowieza, Poland", "Univ Live Sci Lublin, Fac Agrobioengn, Lublin, Poland", "Polish Acad Sci, W Szafer Inst Bot, Krakow, Poland", "Wageningen Univ &amp; Res, Forest Ecol &amp; Forest Management Grp, Wageningen, Netherlands", "Katholieke Univ Leuven, Div Forest Nat &amp; Landscape Res, Dept Earth &amp; Environm Sci, Leuven, Belgium", "Polish Acad Sci, Inst Philosophy &amp; Sociol, Warsaw, Poland", "Univ Freiburg, Fac Environm &amp; Nat Resources, Chair Forest &amp; Environm Policy, Freiburg, Germany", "Forest Res Inst, Dept Geomat, Sekocin Stary, Poland", "Univ Agr, Fac Forestry, Dept Forest Biodivers, Krakow, Poland", "Ludwig Maximilians Univ Munchen, Dept Geog, Econ Geog &amp; Tourism Res, Munich, Germany", "State Council Nat Conservat, Warsaw, Poland", "Cardinal Stefan Wyszynski Univ Warsaw, Fac Math &amp; Nat Sci, Sch Exact Sci, Warsaw, Poland", "Swedish Univ Agr Sci, Dept Ecol, Grimso Wildlife Res Stn, S-73091 Riddarhyttan, Sweden"]</t>
  </si>
  <si>
    <t>Times Cited in Web of Science Core Collection:  36     Total Times Cited:  37     Cited Reference Count:  151 | RAYYAN-INCLUSION: {"Alec"=&gt;"Excluded"}</t>
  </si>
  <si>
    <t>10.1016/j.biocon.2020.108614     WE  - Science Citation Index Expanded (SCI-EXPANDED)     WE  - Social Science Citation Index (SSCI)</t>
  </si>
  <si>
    <t>Bialowieia Forest;Biodiversity conservation;Forest management;Interdisciplinarity;Conservation conflict;Land use conflict;Sustainable land use;BEETLE IPS-TYPOGRAPHUS;SPRUCE BARK BEETLE;RECONCILING TIMBER EXTRACTION;NATIONAL-PARK;PROTECTED AREAS;NORWAY SPRUCE;NATURA 2000;POLAND;LEVEL;IMPLEMENTATION</t>
  </si>
  <si>
    <t>rayyan-164686366</t>
  </si>
  <si>
    <t>Procrustean beds and empty boxes: On the magic of creating environmental data</t>
  </si>
  <si>
    <t>248-252</t>
  </si>
  <si>
    <t>Jaric, I and QuÃ©tier, F and Meinard, Y</t>
  </si>
  <si>
    <t>["Czech Acad Sci, Biol Ctr, Inst Hydrobiol, Sadkach 702-7, CZ-37005 Ceske Budejovice, Czech Republic", "Univ South Bohemia, Fac Sci, Dept Ecosyst Biol, Branisovska 1645-31a, CZ-37005 Ceske Budejovice, Czech Republic", "Biotope, 22 Blvd Foch, F-34140 Meze, France", "Univ Paris 09, Paris Sci &amp; Lettres Res Univ, CNRS, UMR 17243,LAMSADE, Pl Lattre Tassigny, F-75016 Paris, France"]</t>
  </si>
  <si>
    <t>Times Cited in Web of Science Core Collection:  7     Total Times Cited:  7     Cited Reference Count:  38 | RAYYAN-INCLUSION: {"Philip"=&gt;"Excluded"}</t>
  </si>
  <si>
    <t>10.1016/j.biocon.2019.07.006     WE  - Science Citation Index Expanded (SCI-EXPANDED)     WE  - Social Science Citation Index (SSCI)</t>
  </si>
  <si>
    <t>Biodiversity databases;Knowledge-gaps;Conservation policies;Data sharing policies;BIAS</t>
  </si>
  <si>
    <t>rayyan-164686396</t>
  </si>
  <si>
    <t>Linking reductionist science and holistic policy using systematic reviews: unpacking environmental policy questions to construct an evidence-based framework</t>
  </si>
  <si>
    <t>970-975</t>
  </si>
  <si>
    <t>Pullin, AS and Knight, TM and Watkinson, AR</t>
  </si>
  <si>
    <t>["Bangor Univ, Ctr Evidence Based Conservat, Sch Environm &amp; Nat Resources, Bangor LL57 2UW, Gwynedd, Wales", "Univ E Anglia, Sch Environm Sci, Norwich NR4 7TJ, Norfolk, England"]</t>
  </si>
  <si>
    <t>Times Cited in Web of Science Core Collection:  80     Total Times Cited:  88     Cited Reference Count:  22 | RAYYAN-INCLUSION: {"Matthew"=&gt;"Excluded", "Elina"=&gt;"Excluded"}</t>
  </si>
  <si>
    <t>10.1111/j.1365-2664.2009.01704.x     WE  - Science Citation Index Expanded (SCI-EXPANDED)</t>
  </si>
  <si>
    <t>environmental management;environmental policy;knowledge exchange;science into policy;systematic review;MANAGEMENT-INTERVENTIONS;CONSERVATION;GUIDELINES</t>
  </si>
  <si>
    <t>rayyan-164686753</t>
  </si>
  <si>
    <t>How can the European Common Agricultural Policy help halt biodiversity loss? Recommendations by over 300 experts</t>
  </si>
  <si>
    <t>CONSERVATION LETTERS</t>
  </si>
  <si>
    <t>1755-263X     J9  - CONSERV LETT     JI  - Conserv. Lett.</t>
  </si>
  <si>
    <t>Pe'er, G and Finn, JA and DÃ­az, M and Birkenstock, M and Lakner, S and RÃ¶der, N and Kazakova, Y and Sumrada, T and BezÃ¡k, P and ConcepciÃ³n, ED and DÃ¤nhardt, J and Morales, MB and Rac, I and SpulerovÃ¡, J and Schindler, S and Stavrinides, M and Targetti, S and Viaggi, D and Vogiatzakis, IN and Guyomard, H</t>
  </si>
  <si>
    <t>["German Ctr Integrat Biodivers Res iDiv, Puschstr 4, D-04103 Leipzig, Germany", "UFZ Helmholtz Ctr Environm Res, Dept Ecosyst Serv, Leipzig, Germany", "TEAGASC, Environm Soils &amp; Land Use Dept, Wexford, Ireland", "CSIC, Museo Nacl Ciencias Nat, Dept Biogeog &amp; Global Change BGC MNCN, Madrid, Spain", "Johann von Heinrich Thiiunen Inst, Inst Rural Studies, Fed Res Inst Rural Areas Forestry &amp; Fisheries, Braunschweig, Germany", "Univ Rostock, Chair Agr Econ, Fac Agr &amp; Environm Sci, Rostock, Germany", "Univ Natl &amp; World Econ, Dept Econ Nat Resources, Sofia, Bulgaria", "Univ Ljubljana, Biotech Fac, Ljubljana, Slovenia", "Slovak Acad Sci ILE SAS, Inst Landscape Ecol, Nitra, Slovakia", "Univ Complutense Madrid, Fac Biol Sci, Dept Biodivers Ecol &amp; Evolut, Madrid, Spain", "Lund Univ, Ctr Environm &amp; Climate Sci, Lund, Sweden", "Univ Autonoma Madrid, Dept Ecol, Madrid, Spain", "Univ Autonoma Madrid, Res Ctr Biodivers &amp; Global Change, Madrid, Spain", "Slovak Acad Sci ILE SAS, Inst Landscape Ecol, Bratislava, Slovakia", "Environm Agcy Austria, Vienna, Austria", "Czech Univ Life Sci, Fac Environm Sci Community Ecol, Prague, Czech Republic", "Czech Univ Life Sci, Conservat Res Grp, Prague, Czech Republic", "Cyprus Univ Technol, Dept Agr Sci Biotechnol &amp; Food Sci, Limassol, Cyprus", "Univ Bologna, Dept Agr &amp; Food Sci, Viale Fanin, Bologna, Italy", "Open Univ Cyprus, Fac Pure &amp; Appl Sci, Nicosia, Cyprus", "Univ Milano Bicocca, Dept Earth &amp; Environm Sci, Milan, Italy", "INRAE, Ctr Bretagne Normandie, SDAR, Paris, France"]</t>
  </si>
  <si>
    <t>Times Cited in Web of Science Core Collection:  81     Total Times Cited:  84     Cited Reference Count:  36 | RAYYAN-INCLUSION: {"Philip"=&gt;"Excluded"}</t>
  </si>
  <si>
    <t>10.1111/conl.12901</t>
  </si>
  <si>
    <t>agri-environment-climate measures;Common Agricultural Policy;Eco-schemes;European Union;farmland biodiversity;green architecture;monitoring;science-policy;strategic plans;FARMLAND;CONSERVATION</t>
  </si>
  <si>
    <t>rayyan-164686796</t>
  </si>
  <si>
    <t>Effectiveness factors and impacts on policymaking of science-policy interfaces in the environmental sustainability context</t>
  </si>
  <si>
    <t>56-67</t>
  </si>
  <si>
    <t>Wagner, N and Velander, S and Biber-Freudenberger, L and Dietz, T</t>
  </si>
  <si>
    <t>["Rheinische Friedrich Wilhelrns Univ Bonn, Ctr Dev Res ZEF, Bonn, Germany", "Westfal Wilhelrns Univ Munster, Inst Polit Sci, Munster, Germany", "Grad Sch Polit, Scharnhorststr 100, D-48151 Munster, Germany"]</t>
  </si>
  <si>
    <t>Times Cited in Web of Science Core Collection:  18     Total Times Cited:  18     Cited Reference Count:  105 | RAYYAN-INCLUSION: {"Philip"=&gt;"Excluded"}</t>
  </si>
  <si>
    <t>10.1016/j.envsci.2022.11.008</t>
  </si>
  <si>
    <t>Knowledge platforms;Science -policy;Influence on policy;Evidence -based policy;Sustainable development;Environmental governance;BOUNDARY ORGANIZATIONS;CLIMATE-CHANGE;KNOWLEDGE NETWORKS;BIODIVERSITY;ASSESSMENTS;GOVERNANCE;CHALLENGES;MANAGEMENT;RELEVANCE;PLATFORM</t>
  </si>
  <si>
    <t>rayyan-164686805</t>
  </si>
  <si>
    <t>Monitoring in Tropical National Parks: The Power of Knowledge</t>
  </si>
  <si>
    <t>CONSERVATION &amp; SOCIETY</t>
  </si>
  <si>
    <t>["0972-4923", "0975-3133     J9  - CONSERV SOC     JI  - Conserv. Soc."]</t>
  </si>
  <si>
    <t>76-90</t>
  </si>
  <si>
    <t>Vimal, R and Gatiso, T and Mathevet, R</t>
  </si>
  <si>
    <t>["German Ctr Integrat Biodivers Res iDiv, Deutsch Pl 5e, D-04103 Leipzig, Germany", "Inst Dissonances, F-09800 Le Village, Bonac Irazein, France", "Max Planck Inst Evolutionary Anthropol, Deutsch Pl 6, D-04103 Leipzig, Germany", "Univ Montpellier 3, Univ Montpellier, Montpellier EPHE, Ctr Ecol Fonct &amp; Evolut,UMR 5175,CNRS, 1919 Route Mende, F-34293 Montpellier 5, France"]</t>
  </si>
  <si>
    <t>Times Cited in Web of Science Core Collection:  3     Total Times Cited:  3     Cited Reference Count:  67 | RAYYAN-INCLUSION: {"Elina"=&gt;"Included", "Iris"=&gt;"Included"}</t>
  </si>
  <si>
    <t>10.4103/cs.cs_17_12     WE  - Social Science Citation Index (SSCI)</t>
  </si>
  <si>
    <t>monitoring;national parks;quantification;biodiversity conservation;knowledge;power;LONG-TERM;CONSERVATION;BIODIVERSITY;MANAGEMENT;SCIENCE;INSIGHTS;MATTER</t>
  </si>
  <si>
    <t>rayyan-164686848</t>
  </si>
  <si>
    <t>Effectively integrating experiments into conservation practice</t>
  </si>
  <si>
    <t>Ockendon, N and Amano, T and Cadotte, M and Downey, H and Hancock, MH and Thornton, A and Tinsley-Marshall, P and Sutherland, WJ</t>
  </si>
  <si>
    <t>["Cambridge Conservat Initiat, Endangered Landscape Programme, Cambridge CB2 3QZ, England", "Univ Queensland, Sch Biol Sci, Brisbane, Qld, Australia", "Univ Queensland, Ctr Biodivers &amp; Conservat Sci, Brisbane, Qld, Australia", "Univ Toronto Scarborough, Dept Biol Sci, Toronto, ON, Canada", "Univ Cambridge, Dept Zool, Conservat Sci Grp, Cambridge, England", "Cairngorms Connect, Achantoul, Aviemore, Scotland", "RSPB, RSPB Ctr Conservat Sci, Inverness, Scotland", "Kent Wildlife Trus, Maidstone, Kent, England", "Univ Cambridge, St Catharines Coll, Biosecur Res Initiat St Catharines BioRISC, Cambridge, England"]</t>
  </si>
  <si>
    <t>Times Cited in Web of Science Core Collection:  19     Total Times Cited:  19     Cited Reference Count:  40 | RAYYAN-INCLUSION: {"Tabitha"=&gt;"Excluded"}</t>
  </si>
  <si>
    <t>10.1002/2688-8319.12069     WE  - Emerging Sources Citation Index (ESCI)</t>
  </si>
  <si>
    <t>controls;experiment;evidence;experimental design;management trial;manipulation;nature conservation;replication;PSEUDOREPLICATION;MANAGEMENT;TOOL;BIODIVERSITY;PLANTS</t>
  </si>
  <si>
    <t>rayyan-164686958</t>
  </si>
  <si>
    <t>Early warning systems for biodiversity in southern Africa - How much can citizen science mitigate imperfect data?</t>
  </si>
  <si>
    <t>183-188</t>
  </si>
  <si>
    <t>Barnard, P and Altwegg, R and Ebrahim, I and Underhill, LG</t>
  </si>
  <si>
    <t>["SANBI, Kirstenbosch Res Ctr, Climate Change &amp; BioAdaptat, Cape Town, South Africa", "Univ Cape Town, Dept Biol Sci, Percy Fitzpatrick Inst African Ornithol, DST NRF Ctr Excellence, Rondebosch, South Africa", "Univ Cape Town, ACDI, Rondebosch, South Africa", "Univ Cape Town, Dept Stat Sci, Ctr Stat Ecol Environm &amp; Conservat SEEC, Rondebosch, South Africa", "South African Natl Biodivers Inst, Kirstenbosch Res Ctr, CREW, Cape Town, South Africa", "Univ Cape Town, Dept Biol Sci, Anim Demog Unit, Rondebosch, South Africa"]</t>
  </si>
  <si>
    <t>Times Cited in Web of Science Core Collection:  30     Total Times Cited:  32     Cited Reference Count:  45 | RAYYAN-INCLUSION: {"Philip"=&gt;"Excluded"}</t>
  </si>
  <si>
    <t>10.1016/j.biocon.2016.09.011     WE  - Science Citation Index Expanded (SCI-EXPANDED)</t>
  </si>
  <si>
    <t>Conservation decisions;Policy;Planning;Bird atlas;Data scarcity;Scientific protocols;MIGRATION PHENOLOGY;CONSERVATION;DISTRIBUTIONS;MODELS;CLIMATE;FYNBOS</t>
  </si>
  <si>
    <t>rayyan-164687047</t>
  </si>
  <si>
    <t>Conservation, evidence and policy</t>
  </si>
  <si>
    <t>["0030-6053", "1365-3008     J9  - ORYX     JI  - Oryx"]</t>
  </si>
  <si>
    <t>329-335</t>
  </si>
  <si>
    <t>Adams, WM and Sandbrook, C</t>
  </si>
  <si>
    <t>["Univ Cambridge, Dept Geog, Cambridge CB2 3EN, England", "UNEP World Conservat Monitoring Ctr, Cambridge CB3 0DL, England"]</t>
  </si>
  <si>
    <t>Times Cited in Web of Science Core Collection:  167     Total Times Cited:  176     Cited Reference Count:  64 | RAYYAN-INCLUSION: {"Matthew"=&gt;"Excluded"}</t>
  </si>
  <si>
    <t>10.1017/S0030605312001470     WE  - Science Citation Index Expanded (SCI-EXPANDED)     WE  - Social Science Citation Index (SSCI)</t>
  </si>
  <si>
    <t>Conservation;evidence-based conservation;knowledge;policy;science-policy interface;KNOWLEDGE;SCIENCE;BIODIVERSITY;MEDICINE;MANAGERS;SUPPORT;PEOPLE;NEED</t>
  </si>
  <si>
    <t>rayyan-164687179</t>
  </si>
  <si>
    <t>Making habitat connectivity a reality</t>
  </si>
  <si>
    <t>1221-1232</t>
  </si>
  <si>
    <t>Keeley, ATH and Basson, G and Cameron, DR and Heller, NE and Huber, PR and Schloss, CA and Thorne, JH and Merenlender, AM</t>
  </si>
  <si>
    <t>["Univ Calif Berkeley, Dept Environm Sci Policy &amp; Management, 130 Mulford Hall 3114, Berkeley, CA 94720 USA", "Santa Clara Valley Open Space Author, 33 Las Colinas Lane, San Jose, CA 95119 USA", "Nature Conservancy, 201 Mission St,4th Floor, San Francisco, CA 94105 USA", "Peninsula Open Space Trust, 222 High St, Palo Alto, CA 94022 USA", "Univ Calif Davis, Agr Sustainabil Inst, One Shields Ave, Davis, CA 95616 USA", "Univ Calif Davis, Dept Environm Sci &amp; Policy, One Shields Ave, Davis, CA 95616 USA", "Carnegie Museum Nat Hist, 4400 Forbes Ave, Pittsburgh, PA 15213 USA"]</t>
  </si>
  <si>
    <t>Times Cited in Web of Science Core Collection:  46     Total Times Cited:  52     Cited Reference Count:  35 | RAYYAN-INCLUSION: {"Aidan"=&gt;"Excluded"}</t>
  </si>
  <si>
    <t>10.1111/cobi.13158     WE  - Science Citation Index Expanded (SCI-EXPANDED)</t>
  </si>
  <si>
    <t>case studies;framework;lessons learned;planning-implementation gap;wildlife corridors;ECOLOGICAL NETWORKS;CONSERVATION;SCIENCE;IMPLEMENTATION;LESSONS;AREAS</t>
  </si>
  <si>
    <t>rayyan-164687209</t>
  </si>
  <si>
    <t>Information Into Action Biodiversity Data Outreach and Municipal Land Conservation</t>
  </si>
  <si>
    <t>JOURNAL OF THE AMERICAN PLANNING ASSOCIATION</t>
  </si>
  <si>
    <t>["0194-4363", "1939-0130     J9  - J AM PLANN ASSOC     JI  - J. Am. Plan. Assoc."]</t>
  </si>
  <si>
    <t>467-480</t>
  </si>
  <si>
    <t>Kartez, JD and Casto, MP</t>
  </si>
  <si>
    <t>Univ So Maine, Muskie Sch Publ Serv, Portland, ME 04103 USA</t>
  </si>
  <si>
    <t>Times Cited in Web of Science Core Collection:  15     Total Times Cited:  21     Cited Reference Count:  41 | RAYYAN-INCLUSION: {"Sarah"=&gt;"Included"}</t>
  </si>
  <si>
    <t>10.1080/01944360802378096     WE  - Social Science Citation Index (SSCI)</t>
  </si>
  <si>
    <t>environmental planning;communicative planning;stakeholder engagement;habitat;biodiversity;STAKEHOLDER PARTICIPATION;POLICY</t>
  </si>
  <si>
    <t>rayyan-164687221</t>
  </si>
  <si>
    <t>Approaches for integrating evidence of the effectiveness of actions in conservation funding to inspire more effective practice</t>
  </si>
  <si>
    <t>Al-Fulaij, N and Abbott, P and Bowmer, A and Cope, D and de Zoeten, T and Foulks, G and Frick, WF and Funk, SM and Gibbs, D and Gupta, L and Heard, N and Holmes, B and Kowalska, A and Mickleburgh, S and Muir, M and Nuijten, RJM and Parks, D and Reid, H and Van Ryzin, P and Wheeler, L and Zhang, YY and Ockendon, N</t>
  </si>
  <si>
    <t>["Peoples Trust Endangered Species, London, England", "Nat Cambridgeshire, Peterborough, England", "On Edge, London, England", "John Lewis Partnership Plc, John Spedan Lewis Fdn, London, England", "Mossy Earth, Earnley, W Sussex, England", "US Fish &amp; Wildlife Serv, Migratory Bird Program, Falls Church, VA USA", "Bat Conservat Int, 500 North Capital Texas Hwy, Austin, TX USA", "Univ Calif Santa Cruz, Ecol &amp; Evolutionary Biol, Santa Cruz, CA 95064 USA", "Lemu, Santiago, Chile", "IWT Challenge Fund, Biodivers Challenge Funds, Darwin Initiat, London, England", "Darwin Plus Defra, London, England", "Helvellyn Fdn, Crewe, Cheshire, England", "Mohamed bin Zayed Species Conservat Fund, Abu Dhabi, U Arab Emirates", "Rufford Fdn, London, England", "US Fish &amp; Wildlife Serv, Int Affairs, Falls Church, VA USA", "Future Nat Fdn, Arnhem, Netherlands", "Whitley Fund Nat, London, England", "US Fish &amp; Wildlife Serv, Div Wildlife &amp; Sport Fish Restorat, Falls Church, VA USA", "Zhilan Fdn, Shenzhen, Guangdong, Peoples R China", "Endangered Landscapes &amp; Seascapes Programme, Cambridge, England"]</t>
  </si>
  <si>
    <t>Times Cited in Web of Science Core Collection:  0     Total Times Cited:  0     Cited Reference Count:  12 | RAYYAN-INCLUSION: {"Philip"=&gt;"Excluded"}</t>
  </si>
  <si>
    <t>10.1002/2688-8319.12404     WE  - Emerging Sources Citation Index (ESCI)</t>
  </si>
  <si>
    <t>effectiveness;evidence;evidence-based;evidence-informed;grants;philanthropy</t>
  </si>
  <si>
    <t>rayyan-164687318</t>
  </si>
  <si>
    <t>A Resilience History of the Columbia River Basin and Salmonid Species: Regimes and Policies</t>
  </si>
  <si>
    <t>ENVIRONMENTS</t>
  </si>
  <si>
    <t>2076-3298     J9  - ENVIRONMENTS     JI  - Environments</t>
  </si>
  <si>
    <t>Hill, GM and Kolmes, SA</t>
  </si>
  <si>
    <t>Univ Portland, Dept Environm Studies, Portland, OR 97203 USA</t>
  </si>
  <si>
    <t>Times Cited in Web of Science Core Collection:  2     Total Times Cited:  2     Cited Reference Count:  113 | RAYYAN-INCLUSION: {"Philip"=&gt;"Excluded"}</t>
  </si>
  <si>
    <t>10.3390/environments10050076     WE  - Emerging Sources Citation Index (ESCI)</t>
  </si>
  <si>
    <t>salmon;endangered species;recovery planning;PACIFIC SALMON;EXTINCTION RISK;ECOSYSTEM;CONNECTIVITY;MOVEMENT;SYSTEMS;PERSISTENCE;COMPLEXITY;INSIGHTS;HABITAT</t>
  </si>
  <si>
    <t>rayyan-164687382</t>
  </si>
  <si>
    <t>Connecting the shifting currents of aquatic science and policy</t>
  </si>
  <si>
    <t>995-1004</t>
  </si>
  <si>
    <t>Ormerod, SJ and Ray, GC</t>
  </si>
  <si>
    <t>["Cardiff Univ, Cardiff Sch Biosci, Catchment Res Grp, Cardiff CF10 3AX, S Glam, Wales", "Cardiff Univ, Cardiff Sch Biosci, Water Res Inst, Cardiff CF10 3AX, S Glam, Wales", "Univ Virginia, Dept Environm Sci, Clark Hall, Charlottesville, VA 22903 USA"]</t>
  </si>
  <si>
    <t>Times Cited in Web of Science Core Collection:  4     Total Times Cited:  5     Cited Reference Count:  36 | RAYYAN-INCLUSION: {"Tabitha"=&gt;"Excluded"}</t>
  </si>
  <si>
    <t>10.1002/aqc.2708     WE  - Science Citation Index Expanded (SCI-EXPANDED)</t>
  </si>
  <si>
    <t>PROTECTED AREAS;WATER-QUALITY;FRESH-WATER;CONSERVATION;LESSONS;STREAMS</t>
  </si>
  <si>
    <t>rayyan-164687653</t>
  </si>
  <si>
    <t>Freshwater science-policy interactions in Aotearoa-New Zealand: lessons from the past and recommendations for the future</t>
  </si>
  <si>
    <t>AUSTRALASIAN JOURNAL OF WATER RESOURCES</t>
  </si>
  <si>
    <t>["1324-1583", "2204-227X     J9  - AUSTRALAS J WAT RESO     JI  - Australas. J. Water Resour."]</t>
  </si>
  <si>
    <t>131-152</t>
  </si>
  <si>
    <t>Larned, ST and Howard-Williams, C and Taylor, K and Scarsbrook, M</t>
  </si>
  <si>
    <t>["Natl Inst Water &amp; Atmospher Res Ltd, Christchurch, New Zealand", "Waikato Mail Ctr, Waikato Reg Council, Hamilton, New Zealand"]</t>
  </si>
  <si>
    <t>Times Cited in Web of Science Core Collection:  7     Total Times Cited:  7     Cited Reference Count:  167 | RAYYAN-INCLUSION: {"Sarah"=&gt;"Excluded"}</t>
  </si>
  <si>
    <t>10.1080/13241583.2022.2065723</t>
  </si>
  <si>
    <t>Aotearoa-New Zealand;freshwater policy;limit-setting;National Policy Statement for Freshwater Management;science-policy interface;AGRICULTURAL LAND-USE;MURRAY-DARLING BASIN;NITRATE POLLUTION;CLAY DISCHARGES;TRADE-OFFS;QUALITY;MANAGEMENT;CHALLENGES;CATCHMENT;RIVERS</t>
  </si>
  <si>
    <t>rayyan-164687813</t>
  </si>
  <si>
    <t>From science to society to practice? Public reactions to the insect crisis in Germany</t>
  </si>
  <si>
    <t>PEOPLE AND NATURE</t>
  </si>
  <si>
    <t>2575-8314     J9  - PEOPLE NAT     JI  - People Nat.</t>
  </si>
  <si>
    <t>660-667</t>
  </si>
  <si>
    <t>Felgentreff, ES and Buchholz, S and Straka, TM</t>
  </si>
  <si>
    <t>["Tech Univ Berlin, Dept Ecol, Berlin, Germany", "Univ Munster, Inst Landscape Ecol, Munster, Germany"]</t>
  </si>
  <si>
    <t>Times Cited in Web of Science Core Collection:  3     Total Times Cited:  4     Cited Reference Count:  54 | RAYYAN-INCLUSION: {"Carlos"=&gt;"Excluded"}</t>
  </si>
  <si>
    <t>10.1002/pan3.10434</t>
  </si>
  <si>
    <t>behavioural intentions;biodiversity crisis;conservation culturomics;Google Trends;insect die-off;public perception;CONSERVATION;TRENDS</t>
  </si>
  <si>
    <t>rayyan-164687836</t>
  </si>
  <si>
    <t>Bridging the gap between science, policy and stakeholders: Towards sustainable wolf-livestock coexistence in human-dominated landscapes</t>
  </si>
  <si>
    <t>Ostermann-Miyashita, EF and Kirkland, H and Eklund, A and Hare, D and Jansman, HAH and Kiffner, C and Linnell, JDC and Rigg, R and Stone, SA and Uthes, S and von Arx, M and KÃ¶nig, HJ</t>
  </si>
  <si>
    <t>["Leibniz Ctr Agr Landscape Res ZALF, Muncheberg, Germany", "Humboldt Univ, Thaer Inst Agr &amp; Hort Sci, Fac Life Sci, Berlin, Germany", "Univ Oxford, Dept Biol, Wildlife Conservat Res Unit, Oxford, Oxon, England", "Cornell Univ, Dept Nat Resources &amp; Environm, Fernow Hall, Ithaca, NY 14850 USA", "Swedish Univ Agr Sci, Dept Ecol, Grimso Wildlife Res Stn, Riddarhyttan, Sweden", "Wageningen Univ &amp; Res, Wageningen Environm Res, Wageningen, Netherlands", "Max Planck Inst Evolutionary Anthropol, Dept Human Behav Ecol &amp; Culture, Leipzig, Germany", "Norwegian Inst Nat Res, Lillehammer, Norway", "Inland Norway Univ Appl Sci, Dept Forestry &amp; Wildlife Management, Koppang, Norway", "Slovak Wildlife Soc, Liptovsky Hradok, Slovakia", "Int Wildlife Coexistence Network, Garden City, ID USA", "KORA Carnivore Ecol &amp; Wildlife Management, Ittigen, Switzerland", "Fed Off Agr &amp; Food, Bonn, Germany"]</t>
  </si>
  <si>
    <t>Times Cited in Web of Science Core Collection:  0     Total Times Cited:  0     Cited Reference Count:  57 | RAYYAN-INCLUSION: {"Philip"=&gt;"Excluded"}</t>
  </si>
  <si>
    <t>10.1002/pan3.10786</t>
  </si>
  <si>
    <t>adaptive management;&lt;italic&gt;Canis lupus&lt;/italic&gt;;co-implementation;grazing systems;human-wildlife coexistence;interdisciplinary research;science communication;stakeholder engagement;WOLVES;CONSERVATION;DEPREDATION;MANAGEMENT;PREDATORS;TOLERANCE</t>
  </si>
  <si>
    <t>rayyan-164687854</t>
  </si>
  <si>
    <t>GC Insights: Fostering transformative change for biodiversity restoration through transdisciplinary research</t>
  </si>
  <si>
    <t>GEOSCIENCE COMMUNICATION</t>
  </si>
  <si>
    <t>["2569-7102", "2569-7110     J9  - GEOSCI COMMUN     JI  - Geosci. Commun."]</t>
  </si>
  <si>
    <t>57-61</t>
  </si>
  <si>
    <t>Ekberzade, B and Carrasco, AR and Izdebski, A and Sofo, A and Larsen, A and Akinyemi, FO and Bruckman, VJ and Baker, N and Clark, S and Hill, C</t>
  </si>
  <si>
    <t>["Istanbul Tech Univ, Eurasia Inst Earth Sci, TR-34485 Istanbul, Turkiye", "Univ Algarve, Ctr Marine &amp; Environm Res CIMA, ARNET Aquat Res Network, Faro, Portugal", "Max Planck Inst Geoanthropol, Jena, Germany", "Jagiellonian Univ, PL-31007 Krakow, Poland", "Univ Basilicata, Dept European &amp; Mediterranean Cultures DiCEM, I-75100 Matera, Italy", "Wageningen Univ, Environm Sci Grp, NL-6708 PB Wageningen, Netherlands", "Univ Bern, Inst Geog, Land Syst &amp; Sustainable Land Management, CH-3012 Bern, Switzerland", "Austrian Acad Sci, Commiss Interdisciplinary Ecol Studies, A-1010 Vienna, Austria", "Royal Belgian Inst Space Aeron, Brussels, Belgium", "European Geosci Union, D-81677 Munich, Germany"]</t>
  </si>
  <si>
    <t>Times Cited in Web of Science Core Collection:  1     Total Times Cited:  1     Cited Reference Count:  23 | RAYYAN-INCLUSION: {"Philip"=&gt;"Excluded"}</t>
  </si>
  <si>
    <t>10.5194/gc-7-57-2024     WE  - Emerging Sources Citation Index (ESCI)</t>
  </si>
  <si>
    <t>rayyan-164687882</t>
  </si>
  <si>
    <t>Mass-culling of a threatened island flying fox species failed to increase fruit growers' profits and revealed gaps to be addressed for effective conservation</t>
  </si>
  <si>
    <t>JOURNAL FOR NATURE CONSERVATION</t>
  </si>
  <si>
    <t>["1617-1381", "1618-1093     J9  - J NAT CONSERV     JI  - J. Nat. Conserv."]</t>
  </si>
  <si>
    <t>58-64</t>
  </si>
  <si>
    <t>Florens, FBV and Baider, C</t>
  </si>
  <si>
    <t>["Univ Mauritius, Dept Biosci &amp; Ocean Studies, Trop Isl Biodivers Ecol &amp; Conservat Pole Res, Le Reduit, Mauritius", "Friends Environm, Port Louis, Mauritius"]</t>
  </si>
  <si>
    <t>Times Cited in Web of Science Core Collection:  21     Total Times Cited:  23     Cited Reference Count:  79 | RAYYAN-INCLUSION: {"Carlos"=&gt;"Excluded"}</t>
  </si>
  <si>
    <t>10.1016/j.jnc.2018.11.008     WE  - Science Citation Index Expanded (SCI-EXPANDED)</t>
  </si>
  <si>
    <t>Cull;fruit bat;human-wildlife conflict;Mascarenes;Mauritius;Pteropus niger;CONFLICT;MANAGEMENT;PROTECTION;MAURITIUS;FORESTS;PROJECT</t>
  </si>
  <si>
    <t>rayyan-164687911</t>
  </si>
  <si>
    <t>Surveillance indicators and their use in implementation of the Marine Strategy Framework Directive</t>
  </si>
  <si>
    <t>ICES JOURNAL OF MARINE SCIENCE</t>
  </si>
  <si>
    <t>["1054-3139", "1095-9289     J9  - ICES J MAR SCI     JI  - ICES J. Mar. Sci."]</t>
  </si>
  <si>
    <t>2269-2277</t>
  </si>
  <si>
    <t>Shephard, S and Greenstreet, SPR and Piet, GJ and Rindorf, A and Dickey-Collas, M</t>
  </si>
  <si>
    <t>["Queens Univ Belfast, Sch Biol Sci, Belfast BT9 7BL, Antrim, North Ireland", "Marine Lab, Marine Scotland, Aberdeen AB11 9DB, Scotland", "IMARES, Ijmuiden, Netherlands", "Tech Univ Denmark, Natl Inst Aquat Resources, DK-2920 Charlottenlund, Denmark", "ICES, DK-1553 Copenhagen V, Denmark"]</t>
  </si>
  <si>
    <t>Times Cited in Web of Science Core Collection:  52     Total Times Cited:  52     Cited Reference Count:  79 | RAYYAN-INCLUSION: {"Philip"=&gt;"Excluded"}</t>
  </si>
  <si>
    <t>10.1093/icesjms/fsv131     WE  - Science Citation Index Expanded (SCI-EXPANDED)</t>
  </si>
  <si>
    <t>assessment and reporting;Good Environmental Status;indicator-based management frameworks;management response;operational indicators;policy reaction;COD GADUS-MORHUA;LARGE FISH INDICATOR;NORTH-SEA;ECOSYSTEM APPROACH;FISHERIES MANAGEMENT;ATLANTIC;RECRUITMENT;IMPACTS;SUPPORT;FOOD</t>
  </si>
  <si>
    <t>rayyan-164687941</t>
  </si>
  <si>
    <t>Nothing succeeds like success narratives: a case of conservation and development in the time of REDD</t>
  </si>
  <si>
    <t>JOURNAL OF EASTERN AFRICAN STUDIES</t>
  </si>
  <si>
    <t>["1753-1055", "1753-1063     J9  - J EAST AFR STUD     JI  - J. East. Afr. Stud."]</t>
  </si>
  <si>
    <t>482-505</t>
  </si>
  <si>
    <t>Svarstad, H and Benjaminsen, TA</t>
  </si>
  <si>
    <t>["Oslo &amp; Akershus Univ Coll HiOA, Dept Int Studies &amp; Interpretat, Dev Studies, Oslo, Norway", "Norwegian Inst Nat Res NINA, Oslo, Norway", "Norwegian Univ Life Sci NMBU, Fac Landscape &amp; Soc, Dept Int Environm &amp; Dev Studies Noragr, As, Norway"]</t>
  </si>
  <si>
    <t>Times Cited in Web of Science Core Collection:  61     Total Times Cited:  62     Cited Reference Count:  67 | RAYYAN-INCLUSION: {"Philip"=&gt;"Excluded"}</t>
  </si>
  <si>
    <t>10.1080/17531055.2017.1356622     WE  - Social Science Citation Index (SSCI)</t>
  </si>
  <si>
    <t>Conservation;agriculture;forest;development aid;political ecology;climate change mitigation;REDD;Norway;Tanzania;TANZANIA;PLUS;DEFORESTATION;MANAGEMENT;RESISTANCE;FUTURE</t>
  </si>
  <si>
    <t>rayyan-164688073</t>
  </si>
  <si>
    <t>Weaving Indigenous knowledge systems and Western sciences in terrestrial research, monitoring and management in Canada: A protocol for a systematic map</t>
  </si>
  <si>
    <t>Henri, DA and Provencher, JF and Bowles, E and Taylor, JJ and Steel, J and Chelick, C and Popp, JN and Cooke, SJ and Rytwinski, T and McGregor, D and Ford, AT and Alexander, SM</t>
  </si>
  <si>
    <t>["Environm &amp; Climate Change Canada, Sci &amp; Technol Branch, Wildlife Res Div, 105 McGill St,7th Floor, Montreal, PQ H2Y 2E7, Canada", "Environm &amp; Climate Change Canada, Sci &amp; Technol Branch, Ecotoxicol &amp; Wildlife Hlth Div, Ottawa, ON, Canada", "Univ British Columbia Okanagan, Dept Biol, Kelowna, BC, Canada", "Carleton Univ, Canadian Ctr Evidence Based Conservat, Inst Environm &amp; Interdisciplinary Sci, Ottawa, ON, Canada", "Biodigenous Consulting Ltd, Kelowna, BC, Canada", "Univ Guelph, Sch Environm Sci, Guelph, ON, Canada", "York Univ, Osgoode Hall Law Sch, Toronto, ON, Canada", "York Univ, Fac Environm &amp; Urban Change, Toronto, ON, Canada", "Fisheries &amp; Oceans Canada, Environm &amp; Biodivers Sci, Ottawa, ON, Canada", "Univ Waterloo, Environm Change &amp; Governance Grp, Waterloo, ON, Canada"]</t>
  </si>
  <si>
    <t>Times Cited in Web of Science Core Collection:  28     Total Times Cited:  30     Cited Reference Count:  69 | RAYYAN-INCLUSION: {"Philip"=&gt;"Excluded"}</t>
  </si>
  <si>
    <t>10.1002/2688-8319.12057     WE  - Emerging Sources Citation Index (ESCI)</t>
  </si>
  <si>
    <t>Canada;ecological research;environmental management;Indigenous knowledge systems;literature review;terrestrial ecosystems;traditional and local ecological knowledge;Western science;TRADITIONAL ECOLOGICAL KNOWLEDGE;BIODIVERSITY;INTEGRATION</t>
  </si>
  <si>
    <t>rayyan-164688113</t>
  </si>
  <si>
    <t>Choosing What to Believe About Forests: Differences Between Professional and Non-Professional Evaluative Criteria</t>
  </si>
  <si>
    <t>SMALL-SCALE FORESTRY</t>
  </si>
  <si>
    <t>["1873-7617", "1873-7854     J9  - SMALL-SCALE FOR     JI  - Small-Scale For."]</t>
  </si>
  <si>
    <t>137-152</t>
  </si>
  <si>
    <t>Gootee, RS and Blatner, KA and Baumgartner, DM and Carroll, MS and Weber, EP</t>
  </si>
  <si>
    <t>["Rush Creek Ranch, Long Creek, OR 97856 USA", "Washington State Univ, Dept Nat Resource Sci, Pullman, WA 99164 USA", "Univ Nevada, Sch Environm &amp; Publ Affairs, Las Vegas, NV 89154 USA"]</t>
  </si>
  <si>
    <t>Times Cited in Web of Science Core Collection:  46     Total Times Cited:  60     Cited Reference Count:  27 | RAYYAN-INCLUSION: {"Philip"=&gt;"Included"}</t>
  </si>
  <si>
    <t>10.1007/s11842-010-9113-3     WE  - Science Citation Index Expanded (SCI-EXPANDED)</t>
  </si>
  <si>
    <t>Forest owners;Information exchange;Environmental education;Adult education</t>
  </si>
  <si>
    <t>rayyan-164688286</t>
  </si>
  <si>
    <t>Protecting threatened species from coastal infrastructure upgrades: The importance of evidence-based conservation</t>
  </si>
  <si>
    <t>161-166</t>
  </si>
  <si>
    <t>Mamo, LT and Kelaher, BP and Coleman, MA and Dwyer, PG</t>
  </si>
  <si>
    <t>["Southern Cross Univ, Natl Marine Sci Ctr, Sch Environm Sci &amp; Engn, Coffs Harbour, NSW, Australia", "New South Wales Fisheries, Dept Primary Ind, Coffs Harbour, NSW, Australia", "New South Wales Fisheries, Dept Primary Ind, Wollongbar, NSW, Australia"]</t>
  </si>
  <si>
    <t>Times Cited in Web of Science Core Collection:  10     Total Times Cited:  10     Cited Reference Count:  43 | RAYYAN-INCLUSION: {"Philip"=&gt;"Excluded", "Aidan"=&gt;"Included"}</t>
  </si>
  <si>
    <t>10.1016/j.ocecoaman.2018.08.028     WE  - Science Citation Index Expanded (SCI-EXPANDED)</t>
  </si>
  <si>
    <t>Coastal protection;Conservation;Ecological engineering;Macroalgae;Evidence-based management;Nereia;Threatened species;SEA-LEVEL RISE;DEFENSE STRUCTURES;CLIMATE-CHANGE;IMPACTS;PERSPECTIVE;ADAPTATION;KNOWLEDGE;ROCK</t>
  </si>
  <si>
    <t>rayyan-164688375</t>
  </si>
  <si>
    <t>Measuring What Matters: Actionable Information for Conservation Biocontrol in Multifunctional Landscapes</t>
  </si>
  <si>
    <t>Chaplin-Kramer, R and O'Rourke, M and Schellhorn, N and Zhang, W and Robinson, BE and Gratton, C and Rosenheim, JA and Tscharntke, T and Karp, DS</t>
  </si>
  <si>
    <t>["Stanford Univ, Nat Capital Project, Stanford, CA 94305 USA", "Virginia Tech, Sch Plant &amp; Environm Sci, Blacksburg, VA USA", "Commonwealth Sci &amp; Ind Res Org CSIRO, Brisbane, Qld, Australia", "Int Food Policy Res Inst IFPRI, Environm &amp; Prod Technol Div, Washington, DC USA", "McGill Univ, Dept Geog, Montreal, PQ, Canada", "Univ Wisconsin Madison, Dept Entomol, Madison, WI USA", "Univ Calif Davis, Dept Entomol &amp; Nematol, Davis, CA 95616 USA", "Univ Gottingen, Dept Crop Sci, Agroecol Grp, Gottingen, Germany", "Univ Calif Davis, Dept Wildlife Fish &amp; Conservat Biol, Davis, CA 95616 USA"]</t>
  </si>
  <si>
    <t>Times Cited in Web of Science Core Collection:  34     Total Times Cited:  36     Cited Reference Count:  77 | RAYYAN-INCLUSION: {"Philip"=&gt;"Excluded"}</t>
  </si>
  <si>
    <t>10.3389/fsufs.2019.00060     WE  - Science Citation Index Expanded (SCI-EXPANDED)</t>
  </si>
  <si>
    <t>pest control;natural enemies;ecosystem services;stakeholders;decision-support;PEST-CONTROL;BIOLOGICAL-CONTROL;BT COTTON;NATURAL ENEMIES;AGRICULTURAL INTENSIFICATION;INSECTICIDE RESISTANCE;ECOSYSTEM SERVICES;RICE PRODUCTION;PESTICIDE USE;SIMPLIFICATION</t>
  </si>
  <si>
    <t>rayyan-164688401</t>
  </si>
  <si>
    <t>A co-design framework for natural resource policy making: Insights from tree health and fisheries in the United Kingdom</t>
  </si>
  <si>
    <t>Urquhart, J and Ambrose-Oji, B and Chiswell, H and Courtney, P and Lewis, N and Powell, J and Reed, M and Williams, C</t>
  </si>
  <si>
    <t>["Univ Gloucestershire, Countryside &amp; Community Res Inst, Francis Close Hall Campus,Swindon Rd, Cheltenham GL50 4AZ, Glos, England", "Forest Res, 620 Coldharbour Lane, Bristol BS16 1EJ, Avon, England", "New Econ Fdn, 10 Salamanca Pl, London SE1 7HB, England"]</t>
  </si>
  <si>
    <t>Times Cited in Web of Science Core Collection:  4     Total Times Cited:  4     Cited Reference Count:  71 | RAYYAN-INCLUSION: {"Iris"=&gt;"Excluded"}</t>
  </si>
  <si>
    <t>10.1016/j.landusepol.2023.106901</t>
  </si>
  <si>
    <t>Co-design;Policy;Inclusive governance;Participation;Fisheries management;Tree health;COPRODUCTION;PARTICIPATION;ENGAGEMENT;STAKEHOLDERS;COMANAGEMENT;GOVERNANCE;OUTCOMES;USER</t>
  </si>
  <si>
    <t>rayyan-164688771</t>
  </si>
  <si>
    <t>Understanding EU Fisheries Management Dynamics by Engaging Stakeholders through Online Group Model-Building</t>
  </si>
  <si>
    <t>Gercek, E and Gambino, M and Malvarosa, L</t>
  </si>
  <si>
    <t>["Koc Univ, Grad Sch Business, TR-34450 Istanbul, Turkey", "NISEA, Fishery &amp; Aquaculture Econ Res, I-84100 Salerno, Italy"]</t>
  </si>
  <si>
    <t>Times Cited in Web of Science Core Collection:  0     Total Times Cited:  0     Cited Reference Count:  36 | RAYYAN-INCLUSION: {"Philip"=&gt;"Excluded"}</t>
  </si>
  <si>
    <t>10.3390/su142315862     WE  - Science Citation Index Expanded (SCI-EXPANDED)     WE  - Social Science Citation Index (SSCI)</t>
  </si>
  <si>
    <t>sustainability;stakeholders;group model building;causal loop diagrams;SYSTEM DYNAMICS;ISSUES</t>
  </si>
  <si>
    <t>rayyan-164688865</t>
  </si>
  <si>
    <t>Prioritizing terrestrial invasive alien plant species for management in urban ecosystems</t>
  </si>
  <si>
    <t>872-883</t>
  </si>
  <si>
    <t>Potgieter, LJ and Shrestha, N and Cadotte, MW</t>
  </si>
  <si>
    <t>["Univ Toronto Scarborough, Dept Biol Sci, Toronto, ON, Canada", "Toronto &amp; Reg Conservat Author, Toronto, ON, Canada"]</t>
  </si>
  <si>
    <t>Times Cited in Web of Science Core Collection:  8     Total Times Cited:  11     Cited Reference Count:  60 | RAYYAN-INCLUSION: {"Matthew"=&gt;"Excluded"}</t>
  </si>
  <si>
    <t>10.1111/1365-2664.14103</t>
  </si>
  <si>
    <t>ecosystem services;impact;invasive alien plant species;management;prioritization;stakeholder knowledge;urban;ROSSICUM ASCLEPIADACEAE;CONVOLVULUS-ARVENSIS;FRAMEWORK;SERVICES;IMPACT;VALUES;UNCERTAINTY;DISSERVICES;PATHWAYS;BIOLOGY</t>
  </si>
  <si>
    <t>rayyan-164688908</t>
  </si>
  <si>
    <t>What does integrated ecosystem assessment mean to policy-makers and scientists working in the Atlantic? Implications for ocean science diplomacy</t>
  </si>
  <si>
    <t>Polejack, A and RamÃ­rez-Monsalve, P and Wisz, MS</t>
  </si>
  <si>
    <t>["World Maritime Univ, Sasakawa Global Ocean Inst, Malmo, Sweden", "Minist Sci Technol &amp; Innovat, Brasilia, Brazil     PU  - FRONTIERS MEDIA SA     PI  - LAUSANNE     PA  - AVENUE DU TRIBUNAL FEDERAL 34, LAUSANNE, CH-1015, SWITZERLAND"]</t>
  </si>
  <si>
    <t>Times Cited in Web of Science Core Collection:  0     Total Times Cited:  0     Cited Reference Count:  40 | RAYYAN-INCLUSION: {"Tabitha"=&gt;"Included"}</t>
  </si>
  <si>
    <t>10.3389/fmars.2023.1004740     WE  - Science Citation Index Expanded (SCI-EXPANDED)</t>
  </si>
  <si>
    <t>IEA;ecosystem-based management;All-Atlantic Ocean Research Alliance;science-policy interface;ocean science diplomacy;MANAGEMENT;GOVERNANCE</t>
  </si>
  <si>
    <t>rayyan-164689184</t>
  </si>
  <si>
    <t>From research to implementation: Nature conservation in the Eastern Rhodopes mountains (Greece and Bulgaria), European Green Belt</t>
  </si>
  <si>
    <t>193-201</t>
  </si>
  <si>
    <t>Schindler, S and Curado, N and Nikolov, SC and Nikolov, C and Kret, E and Carcamo, B and Catsadorakis, G and Poirazidis, K and Wrbka, T and Kati, V</t>
  </si>
  <si>
    <t>["Univ Vienna, Dept Conservat Biol Vegetat &amp; Landscape Ecol, A-1030 Vienna, Austria", "Bulgarian Acad Sci, Inst Biodivers &amp; Ecosyst Res, BG-1113 Sofia, Bulgaria", "Evros Project, WWF Greece, GR-68400 Dadia, Soufli, Greece", "Technol Educ Inst Ionian Islands, Dept Ecol &amp; Environm, Zakynthos 29100, Greece", "Univ Ioannina, Dept Environm &amp; Nat Resources Management, Agrinion 30100, Greece", "Univ Porto, Ctr Invest Biodiversidade &amp; Recursos Genet, CIBIO, P-4485661 Vairao, Portugal"]</t>
  </si>
  <si>
    <t>Times Cited in Web of Science Core Collection:  33     Total Times Cited:  35     Cited Reference Count:  59 | RAYYAN-INCLUSION: {"Philip"=&gt;"Excluded", "Carlos"=&gt;"Included"}</t>
  </si>
  <si>
    <t>10.1016/j.jnc.2011.01.001     WE  - Science Citation Index Expanded (SCI-EXPANDED)</t>
  </si>
  <si>
    <t>Conservation in practice;Conservation management;Conservation recommendations;Dadia National Park;Evidence-based conservation;Nature conservation;Policy;Protected areas;EURASIAN BLACK VULTURE;DADIA-NATIONAL-PARK;ECOLOGICAL STRUCTURE;NATURE-RESERVE;EVIDENCE-BASE;DIVERSITY;AREAS;UNCERTAINTY;POPULATION;MANAGEMENT</t>
  </si>
  <si>
    <t>rayyan-164689311</t>
  </si>
  <si>
    <t>Do Review Papers on Bird-Vegetation Relationships Provide Actionable Information to Forest Managers in the Eastern United States?</t>
  </si>
  <si>
    <t>FORESTS</t>
  </si>
  <si>
    <t>1999-4907     J9  - FORESTS     JI  - Forests</t>
  </si>
  <si>
    <t>Lott, CA and Akresh, ME and Costanzo, BE and D'Amato, AW and Duan, SW and Fiss, CJ and Fraser, JS and He, HS and King, DI and McNeil, DJ and Stoleson, SH and Yamasaki, M and Larkin, JL</t>
  </si>
  <si>
    <t>["Conservat Sci &amp; Data Visualizat, Boise, ID 83712 USA", "Indiana Univ Penn, Res Inst, Indiana, PA 15705 USA", "Antioch Univ New England, Dept Environm Studies, Keene, NH 03431 USA", "Nat Resources Conservat Serv, USDA, Eastern US Working Lands Wildlife Coordinator, Williamsburg, VA 23185 USA", "Univ Vermont, Rubenstein Sch Environm &amp; Nat Resources, Burlington, VT 05405 USA", "Univ Missouri, Sch Nat Resources, Columbia, MO 65211 USA", "SUNY Syracuse, Coll Environm Sci &amp; Forestry, Dept Environm &amp; Forest Biol, Syracuse, NY 13210 USA", "US Forest Serv, Northern Res Stn, USDA, Columbia, MO 65211 USA", "Univ Massachusetts, Northern Res Stn, USDA, US Forest Serv, Amherst, MA 01003 USA", "Univ N Carolina, Dept Environm Sci, Wilmington, NC 28403 USA", "US Forest Serv, Northern Res Stn, USDA, Irvine, PA 16329 USA", "US Forest Serv, Northern Res Stn, USDA, Durham, NH 03824 USA", "Indiana Univ Penn, Dept Biol, Indiana, PA 15705 USA"]</t>
  </si>
  <si>
    <t>Times Cited in Web of Science Core Collection:  8     Total Times Cited:  8     Cited Reference Count:  210 | RAYYAN-INCLUSION: {"Matthew"=&gt;"Included"}</t>
  </si>
  <si>
    <t>10.3390/f12080990     WE  - Science Citation Index Expanded (SCI-EXPANDED)</t>
  </si>
  <si>
    <t>forestry;silviculture;forest wildlife-habitat relationships;evidence-based practice;implementation gap;research relevance;synthesis;knowledge exchange;science-practice;HABITAT SUITABILITY;SPECIES DISTRIBUTION;DISTRIBUTION MODELS;COMMUNITY STRUCTURE;RETENTION FORESTRY;LANDIS PRO;LANDSCAPE;CONSERVATION;SELECTION;DISTURBANCE</t>
  </si>
  <si>
    <t>rayyan-164689834</t>
  </si>
  <si>
    <t>Grizzly bear monitoring by the Heiltsuk people as a crucible for First Nation conservation practice</t>
  </si>
  <si>
    <t>Housty, WG and Noson, A and Scoville, GW and Boulanger, J and Jeo, RM and Darimont, CT and Filardi, CE</t>
  </si>
  <si>
    <t>["Univ Montana, Div Biol Sci, Missoula, MT 59812 USA", "Cent Washington Univ, Dept Biol Sci, Ellensburg, WA 98926 USA", "Univ Victoria, Dept Geog, Victoria, BC V8W 2Y2, Canada", "Raincoast Conservat Fdn, Sidney, BC, Canada", "Amer Museum Nat Hist, Ctr Biodivers &amp; Conservat, New York, NY 10024 USA"]</t>
  </si>
  <si>
    <t>Times Cited in Web of Science Core Collection:  65     Total Times Cited:  71     Cited Reference Count:  72 | RAYYAN-INCLUSION: {"Alec"=&gt;"Excluded"}</t>
  </si>
  <si>
    <t>10.5751/ES-06668-190270     WE  - Science Citation Index Expanded (SCI-EXPANDED)     WE  - Social Science Citation Index (SSCI)</t>
  </si>
  <si>
    <t>bear population monitoring;British Columbia;conservation;First Nations science;grizzly bear;noninvasive mark;recapture;salmon;social and ecological resilience;traditional stewardship;values;MARK-RECAPTURE;BRITISH-COLUMBIA;URSUS-ARCTOS;SALMON;CAPTURE;MANAGEMENT;ECOSYSTEM;SYSTEMS;BLACK;BROWN</t>
  </si>
  <si>
    <t>rayyan-164689904</t>
  </si>
  <si>
    <t>Avoiding parachute science when addressing conflict over wildlife</t>
  </si>
  <si>
    <t>Ruppert, KA and Lenguya, L and Letoluai, A and Limo, I and Owen, MA and Pilfold, NW and Wachira, P and Glikman, JA</t>
  </si>
  <si>
    <t>["San Diego Zoo Wildlife Alliance, Conservat Sci &amp; Wildlife Hlth, Escondido, CA 92027 USA", "Univ Nairobi, Nairobi, Kenya", "Africa Nazarene Univ, Nanyuki, Kenya", "Wildlife Res &amp; Training Inst, Naivasha, Kenya", "Loisaba Conservancy, Laikipia, Kenya", "Inst Estudios Sociales Avanzados IESA CSIC, Cordoba, Spain"]</t>
  </si>
  <si>
    <t>Times Cited in Web of Science Core Collection:  5     Total Times Cited:  5     Cited Reference Count:  23 | RAYYAN-INCLUSION: {"Iris"=&gt;"Excluded"}</t>
  </si>
  <si>
    <t>10.1111/csp2.548</t>
  </si>
  <si>
    <t>conservation conflict;human-wildlife conflict;parachute science;research-implementation gap;CONSERVATION;KNOWLEDGE;TRUST</t>
  </si>
  <si>
    <t>rayyan-164690053</t>
  </si>
  <si>
    <t>Research-implementation gap limits the actionability of human-carnivore conflict studies in East Africa</t>
  </si>
  <si>
    <t>ANIMAL CONSERVATION</t>
  </si>
  <si>
    <t>["1367-9430", "1469-1795     J9  - ANIM CONSERV     JI  - Anim. Conserv."]</t>
  </si>
  <si>
    <t>Gray, SM and Booher, CR and Elliott, KC and Kramer, DB and Waller, JC and Millspaugh, JJ and Kissui, BM and Montgomery, RA</t>
  </si>
  <si>
    <t>["Michigan State Univ, Dept Fisheries &amp; Wildlife, E Lansing, MI 48824 USA", "Michigan State Univ, Lyman Briggs Coll, E Lansing, MI 48824 USA", "Michigan State Univ, Dept Philosophy, E Lansing, MI 48824 USA", "Michigan State Univ, James Madison Coll, E Lansing, MI 48824 USA", "Michigan State Univ, Dept Hist, E Lansing, MI 48824 USA", "Univ Montana, Coll Forestry &amp; Conservat, Wildlife Biol Program, Missoula, MT 59812 USA", "Sch Field Studies, Ctr Wildlife Management Studies, Karatu, Tanzania"]</t>
  </si>
  <si>
    <t>Times Cited in Web of Science Core Collection:  15     Total Times Cited:  18     Cited Reference Count:  91 | RAYYAN-INCLUSION: {"Philip"=&gt;"Excluded"}</t>
  </si>
  <si>
    <t>10.1111/acv.12520     WE  - Science Citation Index Expanded (SCI-EXPANDED)     WE  - Social Science Citation Index (SSCI)</t>
  </si>
  <si>
    <t>conservation action;human-carnivore conflict;policy;East Africa;depredation;large carnivores;stakeholder engagement;literature review;CONSERVATION BIOLOGISTS;ECOLOGICAL KNOWLEDGE;LIVESTOCK PREDATION;NATIONAL-PARK;PANTHERA-LEO;MANAGEMENT;SCIENCE;PRACTITIONERS;PATTERNS;CATTLE</t>
  </si>
  <si>
    <t>rayyan-164690320</t>
  </si>
  <si>
    <t>Using Change Models to Envision Better Applications of Animal Behavior Research in Conservation Management and Beyond</t>
  </si>
  <si>
    <t>FRONTIERS IN CONSERVATION SCIENCE</t>
  </si>
  <si>
    <t>2673-611X     J9  - FRONT CONSERV SCI     JI  - Front. Conserv. Sci.</t>
  </si>
  <si>
    <t>Greggor, AL and Berger-Tal, O and Swaisgood, RR and Cooke, SJ and DeVault, TL and FernÃ¡ndez-Juricic, E and Gienapp, A and Hall, S and Hostetter, C and Owen, MA and Rankin, S and Ruppert, KA and Swaddle, JP and Blumstein, DT</t>
  </si>
  <si>
    <t>["San Diego Zoo Wildlife Alliance, Recovery Ecol, Escondido, CA 92027 USA", "Ben Gurion Univ Negev, Jacob Blaustein Inst Desert Res, Mitrani Dept Desert Ecol, Beer Sheva, Israel", "Carleton Univ, Inst Environm &amp; Interdisciplinary Sci, Canadian Ctr Evidence Based Conservat, Ottawa, ON, Canada", "Univ Georgia, Savannah River Ecol Lab, Aiken, SC USA", "Purdue Univ, Dept Biol Sci, W Lafayette, IN USA", "ORS Impact, Seattle, WA USA", "San Diego Zoo Wildlife Alliance, Conservat Policy, San Diego, CA USA", "San Diego Zoo Wildlife Alliance, Conservat Sci &amp; Wildlife Hlth, Escondido, CA USA", "NOAA, Natl Marine Fisheries Serv, Southwest Fisheries Sci Ctr, Marine Mammal &amp; Turtle Div, La Jolla, CA USA", "San Diego Zoo Wildlife Alliance, Community Engagement, Escondido, CA USA", "William &amp; Mary, Inst Integrat Conservat, Williamsburg, VA USA", "Univ Calif Los Angeles, Dept Ecol &amp; Evolutionary Biol, Los Angeles, CA USA"]</t>
  </si>
  <si>
    <t>Times Cited in Web of Science Core Collection:  4     Total Times Cited:  4     Cited Reference Count:  85 | RAYYAN-INCLUSION: {"Matthew"=&gt;"Included"}</t>
  </si>
  <si>
    <t>10.3389/fcosc.2021.653056     WE  - Emerging Sources Citation Index (ESCI)</t>
  </si>
  <si>
    <t>change model theory;conservation practice;evidence-based conservation;knowledge-application gap;relationship-building;research-implementation gap;SCIENTIFIC EVIDENCE;KNOWLEDGE EXCHANGE;SCIENCE;COPRODUCTION;PERSPECTIVES;IMPLEMENTATION;DIMENSIONS;WORK</t>
  </si>
  <si>
    <t>rayyan-164690549</t>
  </si>
  <si>
    <t>On the gap between science and conservation implementation-A national park perspective</t>
  </si>
  <si>
    <t>BASIC AND APPLIED ECOLOGY</t>
  </si>
  <si>
    <t>["1439-1791", "1618-0089     J9  - BASIC APPL ECOL     JI  - Basic Appl. Ecol."]</t>
  </si>
  <si>
    <t>373-378</t>
  </si>
  <si>
    <t>MÃ¼ller, J and Opgenoorth, L</t>
  </si>
  <si>
    <t>["Bavarian Forest Natl Pk, D-94481 Grafenau, Germany", "Tech Univ Munich, Ctr Food &amp; Life Sci, Terr Ecol Res Grp, Dept Ecol &amp; Ecosyst Management, D-85354 Freising Weihenstephan, Germany", "Univ Marburg, Fac Biol, Dept Ecol, D-35032 Marburg, Germany"]</t>
  </si>
  <si>
    <t>Times Cited in Web of Science Core Collection:  12     Total Times Cited:  12     Cited Reference Count:  25 | RAYYAN-INCLUSION: {"Philip"=&gt;"Excluded"}</t>
  </si>
  <si>
    <t>10.1016/j.baae.2014.03.002     WE  - Science Citation Index Expanded (SCI-EXPANDED)</t>
  </si>
  <si>
    <t>Microsatellites;Piceaabies;Bavarian Forest National Park;Natura 2000;IDENTIFICATION;MANAGEMENT;CLIMATE</t>
  </si>
  <si>
    <t>rayyan-164690551</t>
  </si>
  <si>
    <t>Navigating the Space between Research and Implementation in Conservation</t>
  </si>
  <si>
    <t>619-625</t>
  </si>
  <si>
    <t>Toomey, AH and Knight, AT and Barlow, J</t>
  </si>
  <si>
    <t>["Pace Univ, Dept Environm Studies &amp; Sci, New York, NY 10038 USA", "Amer Museum Nat Hist, Ctr Biodivers &amp; Conservat, New York, NY 10024 USA", "Imperial Coll London, Dept Life Sci, Room W1-2,Kennedy Bldg,Silwood Pk Campus, Ascot SL5 7PY, Berks, England", "Univ Queensland, ARC Ctr Excellence Environm Decis, Brisbane, Qld, Australia", "Nelson Mandela Metropolitan Univ, Dept Bot, Port Elizabeth, South Africa", "Silwood Grp, London, England", "Univ Lancaster, Lancaster Environm Ctr, Lancaster, England", "Museu Paraense Emilio Goeldi, Belem, Para, Brazil"]</t>
  </si>
  <si>
    <t>Times Cited in Web of Science Core Collection:  214     Total Times Cited:  230     Cited Reference Count:  30 | RAYYAN-INCLUSION: {"Matthew"=&gt;"Excluded"}</t>
  </si>
  <si>
    <t>10.1111/conl.12315     WE  - Science Citation Index Expanded (SCI-EXPANDED)</t>
  </si>
  <si>
    <t>Knowing-doing;evidence-based conservation;society-science divide;research-implementation gap;social learning;alternative knowledges;research-implementation spaces;SCIENTIFIC EVIDENCE;SCIENCE;GAP</t>
  </si>
  <si>
    <t>rayyan-164690951</t>
  </si>
  <si>
    <t>Current use of impact models for agri-environment schemes and potential for improvements of policy design and assessment</t>
  </si>
  <si>
    <t>1245-1254</t>
  </si>
  <si>
    <t>Primdahl, J and Vesterager, JP and Finn, JA and Vlahos, G and Kristensen, L and Vejre, H</t>
  </si>
  <si>
    <t>["Univ Copenhagen, Fac Life Sci, DK-1958 Frederiksberg, Denmark", "TEAGASC, Agrienvironm Res Dept, Environm Res Ctr, Johnstown Castle, Wexford, Ireland", "Agr Univ Athens, Dept Agr Econ &amp; Rural Dev, GR-11855 Athens, Greece"]</t>
  </si>
  <si>
    <t>Times Cited in Web of Science Core Collection:  58     Total Times Cited:  63     Cited Reference Count:  55 | RAYYAN-INCLUSION: {"Philip"=&gt;"Excluded"}</t>
  </si>
  <si>
    <t>10.1016/j.jenvman.2009.12.012     WE  - Science Citation Index Expanded (SCI-EXPANDED)</t>
  </si>
  <si>
    <t>Agri-environment schemes;Impact models;EU;Policy analysis;Policy design;Evaluation;AGRICULTURAL INTENSIFICATION;BIODIVERSITY;LANDSCAPES;BIRDS;LAND</t>
  </si>
  <si>
    <t>rayyan-164690961</t>
  </si>
  <si>
    <t>A knowledge exchange framework to connect research, policy, and practice, developed through the example of the Chinese island of Hainan</t>
  </si>
  <si>
    <t>530-541</t>
  </si>
  <si>
    <t>Zhang, JL and Fedder, B and Wang, DR and Jennerjahn, TC</t>
  </si>
  <si>
    <t>["Leibniz Ctr Trop Marine Res ZMT, Fahrenheitstr 6, D-28359 Bremen, Germany", "Minist Climate Protect Environm Mobil Urban &amp; Hous, Contrescarpe 72, D-28195 Bremen, Germany", "Hainan Acad Ocean &amp; Fishery Sci, Baiju Rd 12, Haikou 571126, Peoples R China", "Univ Bremen, Fac Geosci, Klagenfurter Str, D-28359 Bremen, Germany"]</t>
  </si>
  <si>
    <t>Times Cited in Web of Science Core Collection:  8     Total Times Cited:  8     Cited Reference Count:  82 | RAYYAN-INCLUSION: {"Isobel"=&gt;"Included"}</t>
  </si>
  <si>
    <t>10.1016/j.envsci.2022.07.016</t>
  </si>
  <si>
    <t>Tropical coastal ecosystems;Research -policy -practice interface;Knowledge broker;Social impacts;Stakeholder engagement;Knowledge exchange;ENVIRONMENTAL-MANAGEMENT;SCIENCE COMMUNICATION;COASTAL MANAGEMENT;CONSERVATION;ORGANIZATIONS;INTERFACE;PRACTITIONERS;PARTICIPATION;STAKEHOLDERS;COMMUNITIES</t>
  </si>
  <si>
    <t>rayyan-164691307</t>
  </si>
  <si>
    <t>Tools for Improving the Effectiveness of Academic Partnerships in Informing Conservation Practices</t>
  </si>
  <si>
    <t>NATURAL AREAS JOURNAL</t>
  </si>
  <si>
    <t>["0885-8608", "2162-4399     J9  - NAT AREA J     JI  - Nat. Areas J."]</t>
  </si>
  <si>
    <t>93-100</t>
  </si>
  <si>
    <t>Lapointe, NWR and Tremblay, MA and Barna, H</t>
  </si>
  <si>
    <t>["Nat Conservancy Canada, 35 OConnor St Suite 304, Ottawa, ON K1P 5M4, Canada", "Nat Conservancy Canada, 105 12th Ave,SE Suite 830, Calgary, AB T2G 1A1, Canada     PU  - NATURAL AREAS ASSOC     PI  - ROCKFORD     PA  - 320 SOUTH THIRD ST, ROCKFORD, IL 61104 USA"]</t>
  </si>
  <si>
    <t>Times Cited in Web of Science Core Collection:  1     Total Times Cited:  1     Cited Reference Count:  8 | RAYYAN-INCLUSION: {"Philip"=&gt;"Included", "Aidan"=&gt;"Maybe"}</t>
  </si>
  <si>
    <t>10.3375/043.036.0116     WE  - Science Citation Index Expanded (SCI-EXPANDED)</t>
  </si>
  <si>
    <t>effectiveness;evidence;funding;priorities;research;IMPLEMENTATION;KNOWLEDGE;GAP</t>
  </si>
  <si>
    <t>rayyan-164691394</t>
  </si>
  <si>
    <t>Delivering scientific evidence for global policy and management to ensure ocean sustainability</t>
  </si>
  <si>
    <t>299-306</t>
  </si>
  <si>
    <t>Evans, K and Schmidt, JO and Addo, KA and Bebianno, MJ and Campbell, D and Fan, J and Gonzalez-Quiros, R and Mohammed, EY and Shojaei, MG and Smolyanitsky, V and Zhang, C</t>
  </si>
  <si>
    <t>["CSIRO, Hobart 7000, Australia", "Univ Tasmania, Ctr Marine Socioecol, Hobart 7000, Australia", "Int Council Explorat Sea, DK-1553 Copenhagen V, Denmark", "CGIAR, WorldFish, Bayan Lepas, Penang, Malaysia", "Univ Ghana, Inst Environm &amp; Sanitat Studies, Accra, Ghana", "Univ Algarve, Ctr Marine &amp; Environm Res, Aquat Res Network ARNET, P-8000397 Faro, Portugal", "Univ West Indies, Dept Geog &amp; Geol, Kingston 7, Jamaica", "Minist Ecol &amp; Environm, Natl Marine Environm Monitoring Ctr, Dalian 116023, Peoples R China", "CSIC, Ctr Oceanog Gijon COG IEO, Gijon 33212, Spain", "Tarbiat Modares Univ, Dept Marine Biol, Noor 4641776489, Iran", "Arctic &amp; Antarctic Res Inst AARI, St Petersburg 199397, Russia", "Pukyong Natl Univ, Dept Marine Prod Syst Management, Busan 48513, South Korea"]</t>
  </si>
  <si>
    <t>Times Cited in Web of Science Core Collection:  1     Total Times Cited:  1     Cited Reference Count:  39 | RAYYAN-INCLUSION: {"Iris"=&gt;"Excluded"}</t>
  </si>
  <si>
    <t>10.1007/s11625-024-01579-2</t>
  </si>
  <si>
    <t>Ocean sustainability;Global assessments;United Nations;Science-policy interface;ECOSYSTEM;BIODIVERSITY;PLATFORM</t>
  </si>
  <si>
    <t>rayyan-164692912</t>
  </si>
  <si>
    <t>Perceptions from non-governmental actors on forest and landscape restoration, challenges and strategies for successful implementation across Asia, Africa and Latin America</t>
  </si>
  <si>
    <t>Schweizer, D and van Kuijk, M and Ghazoul, J</t>
  </si>
  <si>
    <t>["Swiss Fed Inst Technol, Dept Environm Syst Sci, Ecosyst Management, Univ Str 16, CH-8092 Zurich, Switzerland", "Univ Utrecht, Dept Biol, Domplein 29, NL-3512 JE Utrecht, Netherlands", "Univ Edinburgh, Sch GeoSci, Ctr Sustainable Forests &amp; Landscapes, Edinburgh, Midlothian, Scotland"]</t>
  </si>
  <si>
    <t>Times Cited in Web of Science Core Collection:  14     Total Times Cited:  14     Cited Reference Count:  46 | RAYYAN-INCLUSION: {"Philip"=&gt;"Excluded", "Tabitha"=&gt;"Included"}</t>
  </si>
  <si>
    <t>10.1016/j.jenvman.2021.112251</t>
  </si>
  <si>
    <t>FLR;Governance;Finance;Challenges;Strategies</t>
  </si>
  <si>
    <t>rayyan-164693437</t>
  </si>
  <si>
    <t>Factors enhancing the level of utilisation of research knowledge on ecosystems</t>
  </si>
  <si>
    <t>PLOS ONE</t>
  </si>
  <si>
    <t>1932-6203     J9  - PLOS ONE     JI  - PLoS One</t>
  </si>
  <si>
    <t>Eschen, R and Mbaabu, PR and Ramamonjisoa, BS and Robledo-Abad, C</t>
  </si>
  <si>
    <t>["CABI, Delemont, Switzerland", "Kenya Forestry Res Inst KEFRI, Marigat, Kenya", "Univ Nairobi, Inst Climate Change &amp; Adaptat ICCA, Nairobi, Kenya", "Chuka Univ, Fac Human &amp; Social Sci, Chuka, Kenya", "Univ Antananarivo, Dept Eaux &amp; Forets Ecole Super Sci, Antananarivo, Madagascar", "Swiss Fed Inst Technol, Inst Environm Decis, Transdisciplinar Lab USYS TdLab, Zurich, Switzerland"]</t>
  </si>
  <si>
    <t>Times Cited in Web of Science Core Collection:  4     Total Times Cited:  4     Cited Reference Count:  34 | RAYYAN-INCLUSION: {"Tabitha"=&gt;"Included"}</t>
  </si>
  <si>
    <t>10.1371/journal.pone.0254752     WE  - Science Citation Index Expanded (SCI-EXPANDED)     WE  - Social Science Citation Index (SSCI)</t>
  </si>
  <si>
    <t>GREENHOUSE-GAS MITIGATION;TRANSDISCIPLINARY RESEARCH;SCIENCE;CHALLENGES;INSIGHTS;BARRIERS;LESSONS</t>
  </si>
  <si>
    <t>rayyan-164693882</t>
  </si>
  <si>
    <t>NETWORK ENVIRONMENTAL GOVERNANCE IN THE EU AS A FRAMEWORK FOR TRANS-BOUNDARY STURGEON PROTECTION AND CROSS-BORDER SUSTAINABLE MANAGEMENT</t>
  </si>
  <si>
    <t>JOURNAL OF ENVIRONMENTAL PROTECTION AND ECOLOGY</t>
  </si>
  <si>
    <t>1311-5065     J9  - J ENVIRON PROT ECOL     JI  - J. Environ. Prot. Ecol.</t>
  </si>
  <si>
    <t>685-692     WE  - Science Citation Index Expanded (SCI-EXPANDED)</t>
  </si>
  <si>
    <t>Munteanu, AM and Ehlinger, TJ and Golumbeanu, M and Tofan, L</t>
  </si>
  <si>
    <t>["Univ Ovidius Constanta, Dept Journalism, Fac Letters, Constanta 900472, Romania", "Univ Wisconsin, Dept Biol Sci, Milwaukee, WI 53201 USA", "Grigore Antipa Natl Inst Marine Res &amp; Dev, Constanta 900581, Romania", "Ovidius Univ Constanta, Fac Nat &amp; Agr Sci, Constanta 900470, Romania"]</t>
  </si>
  <si>
    <t>Times Cited in Web of Science Core Collection:  9     Total Times Cited:  9     Cited Reference Count:  24 | RAYYAN-INCLUSION: {"Prishnee"=&gt;"Excluded"}</t>
  </si>
  <si>
    <t>environmental policy;open method of co-ordination;sturgeons;DANUBE;RIVER;AQUACULTURE;STATE</t>
  </si>
  <si>
    <t>rayyan-164698956</t>
  </si>
  <si>
    <t>The challenges of long-term invasive mammal management: lessons from the UK</t>
  </si>
  <si>
    <t>MAMMAL REVIEW</t>
  </si>
  <si>
    <t>["0305-1838", "1365-2907     J9  - MAMMAL REV     JI  - Mammal Rev."]</t>
  </si>
  <si>
    <t>136-146</t>
  </si>
  <si>
    <t>Mill, AC and Crowley, SL and Lambin, X and McKinney, C and Maggs, G and Robertson, P and Robinson, NJ and Ward, AI and Marzano, M</t>
  </si>
  <si>
    <t>["Newcastle Univ, Modelling Evidence &amp; Policy Grp, Sch Nat &amp; Environm Sci, Newcastle NE1 7RU, England", "Univ Exeter, Environm &amp; Sustainabil Inst, Penryn Campus, Penryn TR10 9FE, Cornwall, England", "Univ Aberdeen, Sch Biol Sci, Tillydrone Ave,Zool Bldg, Aberdeen AB24 2TZ, Scotland", "Ulster Wildlife, McClelland House,10 Heron Rd, Belfast BT3 9LE, Antrim, North Ireland", "Saving Scotlands Red Squirrels, Harbourside House,110 Commercial St, Edinburgh EH6 6NF, Midlothian, Scotland", "Wildlife Trusts, Mather Rd, Newark NG24 1WT, Notts, England", "Univ Hull, Dept Biol &amp; Marine Sci, Cottingham Rd, Kingston Upon Hull HU6 7RX, N Humberside, England", "Forest Res, Social &amp; Econ Res Grp, Northern Res Stn, Roslin EH25 9SY, Midlothian, Scotland"]</t>
  </si>
  <si>
    <t>Times Cited in Web of Science Core Collection:  18     Total Times Cited:  18     Cited Reference Count:  52 | RAYYAN-INCLUSION: {"Philip"=&gt;"Excluded"}</t>
  </si>
  <si>
    <t>10.1111/mam.12186</t>
  </si>
  <si>
    <t>Impact;invasive species;landscape;mink;squirrel;stakeholder;United Kingdom;LARGE-SCALE;ERADICATION;MINK;PARTICIPATION;REMOVAL;VISON</t>
  </si>
  <si>
    <t>rayyan-164699118</t>
  </si>
  <si>
    <t>Knowledge brokering at the environmental science-policy interface - examining structure and activity</t>
  </si>
  <si>
    <t>Juhola, S and Huotari, E and Kolehmainen, L and Silfverberg, O and Korhonen-Kurki, K</t>
  </si>
  <si>
    <t>["Univ Helsinki, Ecosyst &amp; Environm Res Programme, Helsinki, Finland", "Univ Jyvaskyla, Jyvaskyla, Finland", "Finnish Environm Inst, Helsinki, Finland", "Univ Helsinki, Fac Biol &amp; Environm Sci, Bioctr 3,Viikinkaari 1, FI-00014 Helsinki, Finland"]</t>
  </si>
  <si>
    <t>Times Cited in Web of Science Core Collection:  5     Total Times Cited:  5     Cited Reference Count:  53 | RAYYAN-INCLUSION: {"Philip"=&gt;"Included"}</t>
  </si>
  <si>
    <t>10.1016/j.envsci.2024.103672</t>
  </si>
  <si>
    <t>Science -policy interface;Environmental governance;Knowledge brokering;Social network analysis;BOUNDARY ORGANIZATIONS;EXCHANGE;GOVERNANCE;CONSERVATION;CHALLENGES</t>
  </si>
  <si>
    <t>rayyan-164700304</t>
  </si>
  <si>
    <t>How do information flows affect impact from environmental research?-An analysis of a science-policy network</t>
  </si>
  <si>
    <t>FerrÃ©, M and Martin-Ortega, J and Di Gregorio, M and Dallimer, M</t>
  </si>
  <si>
    <t>["Univ Leeds, Sch Earth &amp; Environm, Sustainabil Res Inst, Leeds, W Yorkshire, England", "French Agr Res Ctr Int Dev Cirad, UMR Innovat, F-34398 Montpellier, France"]</t>
  </si>
  <si>
    <t>Times Cited in Web of Science Core Collection:  4     Total Times Cited:  5     Cited Reference Count:  106 | RAYYAN-INCLUSION: {"Philip"=&gt;"Included"}</t>
  </si>
  <si>
    <t>10.1016/j.jenvman.2022.115828</t>
  </si>
  <si>
    <t>Research impact;Science -policy network;Boundary organisations;Information flows;Catchment management;MARINE PROTECTED AREA;SOCIAL NETWORK;KNOWLEDGE EXCHANGE;AGRICULTURAL-RESEARCH;PRODUCTIVE INTERACTIONS;BOUNDARY ORGANIZATIONS;RESOURCE GOVERNANCE;SOCIETAL IMPACT;COLLABORATION;MANAGEMENT</t>
  </si>
  <si>
    <t>rayyan-164702822</t>
  </si>
  <si>
    <t>Research-implementation organisations and their role for sustainable development</t>
  </si>
  <si>
    <t>SUSTAINABLE DEVELOPMENT</t>
  </si>
  <si>
    <t>["0968-0802", "1099-1719     J9  - SUSTAIN DEV     JI  - Sustain. Dev."]</t>
  </si>
  <si>
    <t>1401-1416</t>
  </si>
  <si>
    <t>Saric, J and Breu, T and Fokou, G and Gass, SJ and Kiteme, B and Masanja, H and Utzinger, J and Zeleke, G and KÃ¤ser, F</t>
  </si>
  <si>
    <t>["Swiss Trop &amp; Publ Hlth Inst, Allschwil, Switzerland", "Univ Basel, Basel, Switzerland", "Univ Bern, Ctr Dev &amp; Environm, Bern, Switzerland", "Swiss Commiss Res Partnerships Developing Countri, Bern, Switzerland", "Ctr Suisse Rech Sci Cote Ivoire, Direct Rech &amp; Dev, Abidjan, Cote Ivoire", "Ctr Training &amp; Integrated Res ASAL Dev, Nanyuki, Kenya", "Ifakara Hlth Inst, Dar Es Salaam, Tanzania", "Addis Ababa Univ, Water &amp; Land Resource Ctr, Addis Ababa, Ethiopia"]</t>
  </si>
  <si>
    <t>Times Cited in Web of Science Core Collection:  6     Total Times Cited:  6     Cited Reference Count:  54 | RAYYAN-INCLUSION: {"Aidan"=&gt;"Excluded"}</t>
  </si>
  <si>
    <t>10.1002/sd.2455</t>
  </si>
  <si>
    <t>Africa;development assistance;higher education institutions;research-implementation organisation;sustainable development;transdisciplinary;HIGHER-EDUCATION;INTERDISCIPLINARITY;UNIVERSITY</t>
  </si>
  <si>
    <t>rayyan-164706311</t>
  </si>
  <si>
    <t>Adaptive Management in the Face of Climate Change and Endangered Species Protection</t>
  </si>
  <si>
    <t>ECOLOGY LAW QUARTERLY</t>
  </si>
  <si>
    <t>0046-1121     J9  - ECOL LAW QUART     JI  - Ecol. Law Q.</t>
  </si>
  <si>
    <t>229-270     WE  - Social Science Citation Index (SSCI)</t>
  </si>
  <si>
    <t>Gardner, E</t>
  </si>
  <si>
    <t>Times Cited in Web of Science Core Collection:  2     Total Times Cited:  3     Cited Reference Count:  54 | RAYYAN-INCLUSION: {"Alec"=&gt;"Excluded"}</t>
  </si>
  <si>
    <t>ACT</t>
  </si>
  <si>
    <t>Rayyan_key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</si>
</sst>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8D68-1814-493C-866C-7295DF6891C5}">
  <dimension ref="A1:U737"/>
  <sheetViews>
    <sheetView workbookViewId="0">
      <selection activeCell="R1" sqref="R1"/>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2018</v>
      </c>
      <c r="F2" t="s">
        <v>23</v>
      </c>
      <c r="G2" t="s">
        <v>24</v>
      </c>
      <c r="H2">
        <v>71</v>
      </c>
      <c r="I2">
        <v>5</v>
      </c>
      <c r="J2" t="s">
        <v>25</v>
      </c>
      <c r="K2" t="s">
        <v>26</v>
      </c>
      <c r="L2" t="s">
        <v>27</v>
      </c>
      <c r="Q2" t="s">
        <v>28</v>
      </c>
      <c r="R2" t="s">
        <v>29</v>
      </c>
      <c r="S2" t="s">
        <v>30</v>
      </c>
    </row>
    <row r="3" spans="1:21" x14ac:dyDescent="0.25">
      <c r="A3" t="s">
        <v>31</v>
      </c>
      <c r="B3" t="s">
        <v>32</v>
      </c>
      <c r="C3">
        <v>2019</v>
      </c>
      <c r="F3" t="s">
        <v>33</v>
      </c>
      <c r="H3">
        <v>112</v>
      </c>
      <c r="I3">
        <v>2</v>
      </c>
      <c r="J3" t="s">
        <v>34</v>
      </c>
      <c r="K3" t="s">
        <v>35</v>
      </c>
      <c r="L3" t="s">
        <v>36</v>
      </c>
      <c r="Q3" t="s">
        <v>37</v>
      </c>
      <c r="R3" t="s">
        <v>38</v>
      </c>
      <c r="S3" t="s">
        <v>39</v>
      </c>
    </row>
    <row r="4" spans="1:21" x14ac:dyDescent="0.25">
      <c r="A4" t="s">
        <v>40</v>
      </c>
      <c r="B4" t="s">
        <v>41</v>
      </c>
      <c r="C4">
        <v>2020</v>
      </c>
      <c r="F4" t="s">
        <v>42</v>
      </c>
      <c r="H4">
        <v>2</v>
      </c>
      <c r="I4">
        <v>3</v>
      </c>
      <c r="J4" t="s">
        <v>43</v>
      </c>
      <c r="K4" t="s">
        <v>44</v>
      </c>
      <c r="L4" t="s">
        <v>45</v>
      </c>
      <c r="Q4" t="s">
        <v>46</v>
      </c>
      <c r="R4" t="s">
        <v>47</v>
      </c>
      <c r="S4" t="s">
        <v>30</v>
      </c>
    </row>
    <row r="5" spans="1:21" x14ac:dyDescent="0.25">
      <c r="A5" t="s">
        <v>48</v>
      </c>
      <c r="B5" t="s">
        <v>49</v>
      </c>
      <c r="C5">
        <v>2022</v>
      </c>
      <c r="F5" t="s">
        <v>50</v>
      </c>
      <c r="G5" t="s">
        <v>51</v>
      </c>
      <c r="H5">
        <v>149</v>
      </c>
      <c r="K5" t="s">
        <v>52</v>
      </c>
      <c r="L5" t="s">
        <v>53</v>
      </c>
      <c r="Q5" t="s">
        <v>54</v>
      </c>
      <c r="R5" t="s">
        <v>55</v>
      </c>
      <c r="S5" t="s">
        <v>30</v>
      </c>
    </row>
    <row r="6" spans="1:21" x14ac:dyDescent="0.25">
      <c r="A6" t="s">
        <v>56</v>
      </c>
      <c r="B6" t="s">
        <v>57</v>
      </c>
      <c r="C6">
        <v>2017</v>
      </c>
      <c r="F6" t="s">
        <v>58</v>
      </c>
      <c r="H6">
        <v>4</v>
      </c>
      <c r="K6" t="s">
        <v>59</v>
      </c>
      <c r="L6" t="s">
        <v>60</v>
      </c>
      <c r="Q6" t="s">
        <v>61</v>
      </c>
      <c r="R6" t="s">
        <v>62</v>
      </c>
      <c r="S6" t="s">
        <v>30</v>
      </c>
    </row>
    <row r="7" spans="1:21" x14ac:dyDescent="0.25">
      <c r="A7" t="s">
        <v>63</v>
      </c>
      <c r="B7" t="s">
        <v>64</v>
      </c>
      <c r="C7">
        <v>2019</v>
      </c>
      <c r="F7" t="s">
        <v>65</v>
      </c>
      <c r="G7" t="s">
        <v>66</v>
      </c>
      <c r="H7">
        <v>15</v>
      </c>
      <c r="I7">
        <v>2</v>
      </c>
      <c r="J7" t="s">
        <v>67</v>
      </c>
      <c r="K7" t="s">
        <v>68</v>
      </c>
      <c r="L7" t="s">
        <v>69</v>
      </c>
      <c r="Q7" t="s">
        <v>70</v>
      </c>
      <c r="R7" t="s">
        <v>71</v>
      </c>
      <c r="S7" t="s">
        <v>30</v>
      </c>
    </row>
    <row r="8" spans="1:21" x14ac:dyDescent="0.25">
      <c r="A8" t="s">
        <v>72</v>
      </c>
      <c r="B8" t="s">
        <v>73</v>
      </c>
      <c r="C8">
        <v>2016</v>
      </c>
      <c r="F8" t="s">
        <v>74</v>
      </c>
      <c r="G8" t="s">
        <v>75</v>
      </c>
      <c r="H8">
        <v>25</v>
      </c>
      <c r="I8">
        <v>11</v>
      </c>
      <c r="J8" t="s">
        <v>76</v>
      </c>
      <c r="K8" t="s">
        <v>77</v>
      </c>
      <c r="L8" t="s">
        <v>78</v>
      </c>
      <c r="Q8" t="s">
        <v>79</v>
      </c>
      <c r="R8" t="s">
        <v>80</v>
      </c>
      <c r="S8" t="s">
        <v>30</v>
      </c>
    </row>
    <row r="9" spans="1:21" x14ac:dyDescent="0.25">
      <c r="A9" t="s">
        <v>81</v>
      </c>
      <c r="B9" t="s">
        <v>82</v>
      </c>
      <c r="C9">
        <v>2020</v>
      </c>
      <c r="F9" t="s">
        <v>83</v>
      </c>
      <c r="G9" t="s">
        <v>84</v>
      </c>
      <c r="H9">
        <v>119</v>
      </c>
      <c r="K9" t="s">
        <v>85</v>
      </c>
      <c r="L9" t="s">
        <v>86</v>
      </c>
      <c r="Q9" t="s">
        <v>87</v>
      </c>
      <c r="R9" t="s">
        <v>88</v>
      </c>
      <c r="S9" t="s">
        <v>30</v>
      </c>
    </row>
    <row r="10" spans="1:21" x14ac:dyDescent="0.25">
      <c r="A10" t="s">
        <v>89</v>
      </c>
      <c r="B10" t="s">
        <v>90</v>
      </c>
      <c r="C10">
        <v>2019</v>
      </c>
      <c r="F10" t="s">
        <v>91</v>
      </c>
      <c r="H10">
        <v>48</v>
      </c>
      <c r="I10">
        <v>1</v>
      </c>
      <c r="J10" t="s">
        <v>92</v>
      </c>
      <c r="K10" t="s">
        <v>93</v>
      </c>
      <c r="L10" t="s">
        <v>94</v>
      </c>
      <c r="Q10" t="s">
        <v>95</v>
      </c>
      <c r="R10" t="s">
        <v>96</v>
      </c>
      <c r="S10" t="s">
        <v>97</v>
      </c>
    </row>
    <row r="11" spans="1:21" x14ac:dyDescent="0.25">
      <c r="A11" t="s">
        <v>98</v>
      </c>
      <c r="B11" t="s">
        <v>99</v>
      </c>
      <c r="C11">
        <v>2016</v>
      </c>
      <c r="F11" t="s">
        <v>100</v>
      </c>
      <c r="G11" t="s">
        <v>101</v>
      </c>
      <c r="H11">
        <v>46</v>
      </c>
      <c r="I11">
        <v>2</v>
      </c>
      <c r="K11" t="s">
        <v>102</v>
      </c>
      <c r="L11" t="s">
        <v>103</v>
      </c>
      <c r="Q11" t="s">
        <v>104</v>
      </c>
      <c r="R11" t="s">
        <v>105</v>
      </c>
      <c r="S11" t="s">
        <v>30</v>
      </c>
    </row>
    <row r="12" spans="1:21" x14ac:dyDescent="0.25">
      <c r="A12" t="s">
        <v>106</v>
      </c>
      <c r="B12" t="s">
        <v>107</v>
      </c>
      <c r="C12">
        <v>2020</v>
      </c>
      <c r="F12" t="s">
        <v>108</v>
      </c>
      <c r="H12">
        <v>2</v>
      </c>
      <c r="I12">
        <v>9</v>
      </c>
      <c r="J12" s="1">
        <v>46235</v>
      </c>
      <c r="K12" t="s">
        <v>109</v>
      </c>
      <c r="L12" t="s">
        <v>110</v>
      </c>
      <c r="Q12" t="s">
        <v>111</v>
      </c>
      <c r="R12" t="s">
        <v>112</v>
      </c>
      <c r="S12" t="s">
        <v>113</v>
      </c>
    </row>
    <row r="13" spans="1:21" x14ac:dyDescent="0.25">
      <c r="A13" t="s">
        <v>114</v>
      </c>
      <c r="B13" t="s">
        <v>115</v>
      </c>
      <c r="C13">
        <v>2021</v>
      </c>
      <c r="F13" t="s">
        <v>116</v>
      </c>
      <c r="G13" t="s">
        <v>117</v>
      </c>
      <c r="H13">
        <v>64</v>
      </c>
      <c r="K13" t="s">
        <v>118</v>
      </c>
      <c r="L13" t="s">
        <v>119</v>
      </c>
      <c r="Q13" t="s">
        <v>120</v>
      </c>
      <c r="R13" t="s">
        <v>121</v>
      </c>
      <c r="S13" t="s">
        <v>30</v>
      </c>
    </row>
    <row r="14" spans="1:21" x14ac:dyDescent="0.25">
      <c r="A14" t="s">
        <v>122</v>
      </c>
      <c r="B14" t="s">
        <v>123</v>
      </c>
      <c r="C14">
        <v>2019</v>
      </c>
      <c r="F14" t="s">
        <v>124</v>
      </c>
      <c r="H14">
        <v>8</v>
      </c>
      <c r="I14">
        <v>5</v>
      </c>
      <c r="K14" t="s">
        <v>125</v>
      </c>
      <c r="L14" t="s">
        <v>126</v>
      </c>
      <c r="Q14" t="s">
        <v>127</v>
      </c>
      <c r="R14" t="s">
        <v>128</v>
      </c>
      <c r="S14" t="s">
        <v>30</v>
      </c>
    </row>
    <row r="15" spans="1:21" x14ac:dyDescent="0.25">
      <c r="A15" t="s">
        <v>129</v>
      </c>
      <c r="B15" t="s">
        <v>130</v>
      </c>
      <c r="C15">
        <v>2017</v>
      </c>
      <c r="F15" t="s">
        <v>131</v>
      </c>
      <c r="H15">
        <v>213</v>
      </c>
      <c r="J15" t="s">
        <v>132</v>
      </c>
      <c r="K15" t="s">
        <v>133</v>
      </c>
      <c r="L15" t="s">
        <v>134</v>
      </c>
      <c r="Q15" t="s">
        <v>135</v>
      </c>
      <c r="R15" t="s">
        <v>136</v>
      </c>
      <c r="S15" t="s">
        <v>137</v>
      </c>
    </row>
    <row r="16" spans="1:21" x14ac:dyDescent="0.25">
      <c r="A16" t="s">
        <v>138</v>
      </c>
      <c r="B16" t="s">
        <v>139</v>
      </c>
      <c r="C16">
        <v>2019</v>
      </c>
      <c r="F16" t="s">
        <v>140</v>
      </c>
      <c r="G16" t="s">
        <v>141</v>
      </c>
      <c r="H16">
        <v>24</v>
      </c>
      <c r="I16">
        <v>3</v>
      </c>
      <c r="K16" t="s">
        <v>142</v>
      </c>
      <c r="L16" t="s">
        <v>143</v>
      </c>
      <c r="Q16" t="s">
        <v>144</v>
      </c>
      <c r="R16" t="s">
        <v>145</v>
      </c>
      <c r="S16" t="s">
        <v>30</v>
      </c>
    </row>
    <row r="17" spans="1:19" x14ac:dyDescent="0.25">
      <c r="A17" t="s">
        <v>146</v>
      </c>
      <c r="B17" t="s">
        <v>147</v>
      </c>
      <c r="C17">
        <v>2021</v>
      </c>
      <c r="F17" t="s">
        <v>148</v>
      </c>
      <c r="H17">
        <v>11</v>
      </c>
      <c r="I17">
        <v>1</v>
      </c>
      <c r="J17" t="s">
        <v>149</v>
      </c>
      <c r="K17" t="s">
        <v>150</v>
      </c>
      <c r="L17" t="s">
        <v>151</v>
      </c>
      <c r="O17" t="s">
        <v>152</v>
      </c>
      <c r="Q17" t="s">
        <v>153</v>
      </c>
      <c r="S17" t="s">
        <v>30</v>
      </c>
    </row>
    <row r="18" spans="1:19" x14ac:dyDescent="0.25">
      <c r="A18" t="s">
        <v>154</v>
      </c>
      <c r="B18" t="s">
        <v>155</v>
      </c>
      <c r="C18">
        <v>2021</v>
      </c>
      <c r="F18" t="s">
        <v>156</v>
      </c>
      <c r="H18">
        <v>74</v>
      </c>
      <c r="J18" s="2">
        <v>41640</v>
      </c>
      <c r="K18" t="s">
        <v>157</v>
      </c>
      <c r="L18" t="s">
        <v>158</v>
      </c>
      <c r="Q18" t="s">
        <v>159</v>
      </c>
      <c r="R18" t="s">
        <v>160</v>
      </c>
      <c r="S18" t="s">
        <v>161</v>
      </c>
    </row>
    <row r="19" spans="1:19" x14ac:dyDescent="0.25">
      <c r="A19" t="s">
        <v>162</v>
      </c>
      <c r="B19" t="s">
        <v>163</v>
      </c>
      <c r="C19">
        <v>2019</v>
      </c>
      <c r="F19" t="s">
        <v>164</v>
      </c>
      <c r="H19">
        <v>6</v>
      </c>
      <c r="I19">
        <v>1</v>
      </c>
      <c r="J19" s="1">
        <v>46266</v>
      </c>
      <c r="K19" t="s">
        <v>165</v>
      </c>
      <c r="L19" t="s">
        <v>166</v>
      </c>
      <c r="Q19" t="s">
        <v>167</v>
      </c>
      <c r="R19" t="s">
        <v>168</v>
      </c>
      <c r="S19" t="s">
        <v>169</v>
      </c>
    </row>
    <row r="20" spans="1:19" x14ac:dyDescent="0.25">
      <c r="A20" t="s">
        <v>170</v>
      </c>
      <c r="B20" t="s">
        <v>171</v>
      </c>
      <c r="C20">
        <v>2012</v>
      </c>
      <c r="F20" t="s">
        <v>172</v>
      </c>
      <c r="H20">
        <v>17</v>
      </c>
      <c r="I20">
        <v>2</v>
      </c>
      <c r="J20" t="s">
        <v>173</v>
      </c>
      <c r="K20" t="s">
        <v>174</v>
      </c>
      <c r="L20" t="s">
        <v>175</v>
      </c>
      <c r="Q20" t="s">
        <v>176</v>
      </c>
      <c r="R20" t="s">
        <v>177</v>
      </c>
      <c r="S20" t="s">
        <v>178</v>
      </c>
    </row>
    <row r="21" spans="1:19" x14ac:dyDescent="0.25">
      <c r="A21" t="s">
        <v>179</v>
      </c>
      <c r="B21" t="s">
        <v>180</v>
      </c>
      <c r="C21">
        <v>2012</v>
      </c>
      <c r="F21" t="s">
        <v>181</v>
      </c>
      <c r="G21">
        <v>322687</v>
      </c>
      <c r="H21">
        <v>45</v>
      </c>
      <c r="I21">
        <v>3</v>
      </c>
      <c r="J21" t="s">
        <v>182</v>
      </c>
      <c r="K21" t="s">
        <v>183</v>
      </c>
      <c r="L21" t="s">
        <v>184</v>
      </c>
      <c r="Q21" t="s">
        <v>185</v>
      </c>
      <c r="R21" t="s">
        <v>186</v>
      </c>
      <c r="S21" t="s">
        <v>187</v>
      </c>
    </row>
    <row r="22" spans="1:19" x14ac:dyDescent="0.25">
      <c r="A22" t="s">
        <v>188</v>
      </c>
      <c r="B22" t="s">
        <v>189</v>
      </c>
      <c r="C22">
        <v>2020</v>
      </c>
      <c r="F22" t="s">
        <v>190</v>
      </c>
      <c r="H22">
        <v>8</v>
      </c>
      <c r="I22">
        <v>1</v>
      </c>
      <c r="J22" s="1">
        <v>46327</v>
      </c>
      <c r="K22" t="s">
        <v>191</v>
      </c>
      <c r="L22" t="s">
        <v>192</v>
      </c>
      <c r="Q22" t="s">
        <v>193</v>
      </c>
      <c r="R22" t="s">
        <v>194</v>
      </c>
      <c r="S22" t="s">
        <v>195</v>
      </c>
    </row>
    <row r="23" spans="1:19" x14ac:dyDescent="0.25">
      <c r="A23" t="s">
        <v>196</v>
      </c>
      <c r="B23" t="s">
        <v>197</v>
      </c>
      <c r="C23">
        <v>2020</v>
      </c>
      <c r="F23" t="s">
        <v>198</v>
      </c>
      <c r="G23" t="s">
        <v>199</v>
      </c>
      <c r="H23">
        <v>30</v>
      </c>
      <c r="I23">
        <v>9</v>
      </c>
      <c r="J23" t="s">
        <v>200</v>
      </c>
      <c r="K23" t="s">
        <v>201</v>
      </c>
      <c r="L23" t="s">
        <v>202</v>
      </c>
      <c r="Q23" t="s">
        <v>203</v>
      </c>
      <c r="R23" t="s">
        <v>204</v>
      </c>
      <c r="S23" t="s">
        <v>30</v>
      </c>
    </row>
    <row r="24" spans="1:19" x14ac:dyDescent="0.25">
      <c r="A24" t="s">
        <v>205</v>
      </c>
      <c r="B24" t="s">
        <v>206</v>
      </c>
      <c r="C24">
        <v>2020</v>
      </c>
      <c r="F24" t="s">
        <v>207</v>
      </c>
      <c r="H24">
        <v>15</v>
      </c>
      <c r="I24">
        <v>7</v>
      </c>
      <c r="J24" t="s">
        <v>208</v>
      </c>
      <c r="K24" t="s">
        <v>209</v>
      </c>
      <c r="L24" t="s">
        <v>210</v>
      </c>
      <c r="O24" t="s">
        <v>211</v>
      </c>
      <c r="Q24" t="s">
        <v>212</v>
      </c>
      <c r="S24" t="s">
        <v>30</v>
      </c>
    </row>
    <row r="25" spans="1:19" x14ac:dyDescent="0.25">
      <c r="A25" t="s">
        <v>213</v>
      </c>
      <c r="B25" t="s">
        <v>214</v>
      </c>
      <c r="C25">
        <v>2020</v>
      </c>
      <c r="F25" t="s">
        <v>215</v>
      </c>
      <c r="H25">
        <v>16</v>
      </c>
      <c r="I25">
        <v>1</v>
      </c>
      <c r="J25" t="s">
        <v>216</v>
      </c>
      <c r="K25" t="s">
        <v>217</v>
      </c>
      <c r="L25" t="s">
        <v>218</v>
      </c>
      <c r="O25" t="s">
        <v>219</v>
      </c>
      <c r="Q25" t="s">
        <v>220</v>
      </c>
      <c r="S25" t="s">
        <v>30</v>
      </c>
    </row>
    <row r="26" spans="1:19" x14ac:dyDescent="0.25">
      <c r="A26" t="s">
        <v>221</v>
      </c>
      <c r="B26" t="s">
        <v>222</v>
      </c>
      <c r="C26">
        <v>2013</v>
      </c>
      <c r="F26" t="s">
        <v>223</v>
      </c>
      <c r="H26">
        <v>52</v>
      </c>
      <c r="I26">
        <v>1</v>
      </c>
      <c r="J26" t="s">
        <v>224</v>
      </c>
      <c r="K26" t="s">
        <v>225</v>
      </c>
      <c r="L26" t="s">
        <v>226</v>
      </c>
      <c r="O26" t="s">
        <v>227</v>
      </c>
      <c r="Q26" t="s">
        <v>228</v>
      </c>
      <c r="S26" t="s">
        <v>30</v>
      </c>
    </row>
    <row r="27" spans="1:19" x14ac:dyDescent="0.25">
      <c r="A27" t="s">
        <v>229</v>
      </c>
      <c r="B27" t="s">
        <v>230</v>
      </c>
      <c r="C27">
        <v>2020</v>
      </c>
      <c r="F27" t="s">
        <v>58</v>
      </c>
      <c r="H27">
        <v>7</v>
      </c>
      <c r="K27" t="s">
        <v>231</v>
      </c>
      <c r="L27" t="s">
        <v>232</v>
      </c>
      <c r="Q27" t="s">
        <v>233</v>
      </c>
      <c r="R27" t="s">
        <v>234</v>
      </c>
      <c r="S27" t="s">
        <v>30</v>
      </c>
    </row>
    <row r="28" spans="1:19" x14ac:dyDescent="0.25">
      <c r="A28" t="s">
        <v>235</v>
      </c>
      <c r="B28" t="s">
        <v>236</v>
      </c>
      <c r="C28">
        <v>2014</v>
      </c>
      <c r="F28" t="s">
        <v>237</v>
      </c>
      <c r="H28">
        <v>32</v>
      </c>
      <c r="I28">
        <v>2</v>
      </c>
      <c r="J28" t="s">
        <v>238</v>
      </c>
      <c r="K28" t="s">
        <v>239</v>
      </c>
      <c r="N28" t="s">
        <v>240</v>
      </c>
      <c r="O28" t="s">
        <v>241</v>
      </c>
      <c r="Q28" t="s">
        <v>242</v>
      </c>
      <c r="R28" t="s">
        <v>243</v>
      </c>
      <c r="S28" t="s">
        <v>244</v>
      </c>
    </row>
    <row r="29" spans="1:19" x14ac:dyDescent="0.25">
      <c r="A29" t="s">
        <v>245</v>
      </c>
      <c r="B29" t="s">
        <v>246</v>
      </c>
      <c r="C29">
        <v>2016</v>
      </c>
      <c r="F29" t="s">
        <v>247</v>
      </c>
      <c r="G29" t="s">
        <v>248</v>
      </c>
      <c r="H29">
        <v>10</v>
      </c>
      <c r="I29">
        <v>2</v>
      </c>
      <c r="J29" t="s">
        <v>249</v>
      </c>
      <c r="K29" t="s">
        <v>250</v>
      </c>
      <c r="L29" t="s">
        <v>251</v>
      </c>
      <c r="Q29" t="s">
        <v>252</v>
      </c>
      <c r="R29" t="s">
        <v>253</v>
      </c>
      <c r="S29" t="s">
        <v>30</v>
      </c>
    </row>
    <row r="30" spans="1:19" x14ac:dyDescent="0.25">
      <c r="A30" t="s">
        <v>254</v>
      </c>
      <c r="B30" t="s">
        <v>255</v>
      </c>
      <c r="C30">
        <v>2013</v>
      </c>
      <c r="F30" t="s">
        <v>256</v>
      </c>
      <c r="H30">
        <v>45</v>
      </c>
      <c r="I30">
        <v>2</v>
      </c>
      <c r="J30" t="s">
        <v>257</v>
      </c>
      <c r="K30" t="s">
        <v>258</v>
      </c>
      <c r="L30" t="s">
        <v>259</v>
      </c>
      <c r="Q30" t="s">
        <v>260</v>
      </c>
      <c r="S30" t="s">
        <v>30</v>
      </c>
    </row>
    <row r="31" spans="1:19" x14ac:dyDescent="0.25">
      <c r="A31" t="s">
        <v>261</v>
      </c>
      <c r="B31" t="s">
        <v>262</v>
      </c>
      <c r="C31">
        <v>2020</v>
      </c>
      <c r="F31" t="s">
        <v>116</v>
      </c>
      <c r="G31" t="s">
        <v>117</v>
      </c>
      <c r="H31">
        <v>55</v>
      </c>
      <c r="K31" t="s">
        <v>263</v>
      </c>
      <c r="L31" t="s">
        <v>264</v>
      </c>
      <c r="Q31" t="s">
        <v>265</v>
      </c>
      <c r="R31" t="s">
        <v>266</v>
      </c>
      <c r="S31" t="s">
        <v>30</v>
      </c>
    </row>
    <row r="32" spans="1:19" x14ac:dyDescent="0.25">
      <c r="A32" t="s">
        <v>267</v>
      </c>
      <c r="B32" t="s">
        <v>268</v>
      </c>
      <c r="C32">
        <v>2018</v>
      </c>
      <c r="F32" t="s">
        <v>131</v>
      </c>
      <c r="H32">
        <v>226</v>
      </c>
      <c r="J32" t="s">
        <v>269</v>
      </c>
      <c r="K32" t="s">
        <v>270</v>
      </c>
      <c r="L32" t="s">
        <v>271</v>
      </c>
      <c r="Q32" t="s">
        <v>272</v>
      </c>
      <c r="R32" t="s">
        <v>273</v>
      </c>
      <c r="S32" t="s">
        <v>274</v>
      </c>
    </row>
    <row r="33" spans="1:19" x14ac:dyDescent="0.25">
      <c r="A33" t="s">
        <v>275</v>
      </c>
      <c r="B33" t="s">
        <v>276</v>
      </c>
      <c r="C33">
        <v>2018</v>
      </c>
      <c r="F33" t="s">
        <v>277</v>
      </c>
      <c r="H33">
        <v>47</v>
      </c>
      <c r="I33">
        <v>5</v>
      </c>
      <c r="J33" t="s">
        <v>278</v>
      </c>
      <c r="K33" t="s">
        <v>279</v>
      </c>
      <c r="L33" t="s">
        <v>280</v>
      </c>
      <c r="O33" t="s">
        <v>281</v>
      </c>
      <c r="Q33" t="s">
        <v>282</v>
      </c>
      <c r="S33" t="s">
        <v>30</v>
      </c>
    </row>
    <row r="34" spans="1:19" x14ac:dyDescent="0.25">
      <c r="A34" t="s">
        <v>283</v>
      </c>
      <c r="B34" t="s">
        <v>284</v>
      </c>
      <c r="C34">
        <v>2016</v>
      </c>
      <c r="F34" t="s">
        <v>285</v>
      </c>
      <c r="H34">
        <v>25</v>
      </c>
      <c r="I34">
        <v>7</v>
      </c>
      <c r="J34" t="s">
        <v>286</v>
      </c>
      <c r="K34" t="s">
        <v>287</v>
      </c>
      <c r="L34" t="s">
        <v>288</v>
      </c>
      <c r="O34" t="s">
        <v>289</v>
      </c>
      <c r="Q34" t="s">
        <v>290</v>
      </c>
      <c r="S34" t="s">
        <v>30</v>
      </c>
    </row>
    <row r="35" spans="1:19" x14ac:dyDescent="0.25">
      <c r="A35" t="s">
        <v>291</v>
      </c>
      <c r="B35" t="s">
        <v>292</v>
      </c>
      <c r="C35">
        <v>2016</v>
      </c>
      <c r="F35" t="s">
        <v>293</v>
      </c>
      <c r="H35">
        <v>21</v>
      </c>
      <c r="I35">
        <v>4</v>
      </c>
      <c r="J35" t="s">
        <v>294</v>
      </c>
      <c r="K35" t="s">
        <v>295</v>
      </c>
      <c r="L35" t="s">
        <v>296</v>
      </c>
      <c r="Q35" t="s">
        <v>297</v>
      </c>
      <c r="S35" t="s">
        <v>30</v>
      </c>
    </row>
    <row r="36" spans="1:19" x14ac:dyDescent="0.25">
      <c r="A36" t="s">
        <v>298</v>
      </c>
      <c r="B36" t="s">
        <v>299</v>
      </c>
      <c r="C36">
        <v>2015</v>
      </c>
      <c r="F36" t="s">
        <v>223</v>
      </c>
      <c r="H36">
        <v>56</v>
      </c>
      <c r="I36">
        <v>2</v>
      </c>
      <c r="J36" t="s">
        <v>300</v>
      </c>
      <c r="K36" t="s">
        <v>301</v>
      </c>
      <c r="L36" t="s">
        <v>302</v>
      </c>
      <c r="O36" t="s">
        <v>303</v>
      </c>
      <c r="Q36" t="s">
        <v>304</v>
      </c>
      <c r="S36" t="s">
        <v>30</v>
      </c>
    </row>
    <row r="37" spans="1:19" x14ac:dyDescent="0.25">
      <c r="A37" t="s">
        <v>305</v>
      </c>
      <c r="B37" t="s">
        <v>306</v>
      </c>
      <c r="C37">
        <v>2017</v>
      </c>
      <c r="F37" t="s">
        <v>307</v>
      </c>
      <c r="G37" t="s">
        <v>308</v>
      </c>
      <c r="H37">
        <v>11</v>
      </c>
      <c r="I37">
        <v>3</v>
      </c>
      <c r="J37" t="s">
        <v>309</v>
      </c>
      <c r="K37" t="s">
        <v>310</v>
      </c>
      <c r="L37" t="s">
        <v>311</v>
      </c>
      <c r="Q37" t="s">
        <v>312</v>
      </c>
      <c r="S37" t="s">
        <v>30</v>
      </c>
    </row>
    <row r="38" spans="1:19" x14ac:dyDescent="0.25">
      <c r="A38" t="s">
        <v>313</v>
      </c>
      <c r="B38" t="s">
        <v>314</v>
      </c>
      <c r="C38">
        <v>2015</v>
      </c>
      <c r="F38" t="s">
        <v>315</v>
      </c>
      <c r="H38">
        <v>54</v>
      </c>
      <c r="J38" t="s">
        <v>316</v>
      </c>
      <c r="K38" t="s">
        <v>317</v>
      </c>
      <c r="L38" t="s">
        <v>318</v>
      </c>
      <c r="Q38" t="s">
        <v>319</v>
      </c>
      <c r="S38" t="s">
        <v>30</v>
      </c>
    </row>
    <row r="39" spans="1:19" x14ac:dyDescent="0.25">
      <c r="A39" t="s">
        <v>320</v>
      </c>
      <c r="B39" t="s">
        <v>321</v>
      </c>
      <c r="C39">
        <v>2021</v>
      </c>
      <c r="F39" t="s">
        <v>322</v>
      </c>
      <c r="G39" t="s">
        <v>323</v>
      </c>
      <c r="H39">
        <v>60</v>
      </c>
      <c r="K39" t="s">
        <v>324</v>
      </c>
      <c r="L39" t="s">
        <v>325</v>
      </c>
      <c r="Q39" t="s">
        <v>326</v>
      </c>
      <c r="R39" t="s">
        <v>327</v>
      </c>
      <c r="S39" t="s">
        <v>30</v>
      </c>
    </row>
    <row r="40" spans="1:19" x14ac:dyDescent="0.25">
      <c r="A40" t="s">
        <v>328</v>
      </c>
      <c r="B40" t="s">
        <v>329</v>
      </c>
      <c r="C40">
        <v>2015</v>
      </c>
      <c r="F40" t="s">
        <v>140</v>
      </c>
      <c r="G40" t="s">
        <v>141</v>
      </c>
      <c r="H40">
        <v>20</v>
      </c>
      <c r="I40">
        <v>2</v>
      </c>
      <c r="K40" t="s">
        <v>330</v>
      </c>
      <c r="L40" t="s">
        <v>331</v>
      </c>
      <c r="Q40" t="s">
        <v>332</v>
      </c>
      <c r="R40" t="s">
        <v>333</v>
      </c>
      <c r="S40" t="s">
        <v>30</v>
      </c>
    </row>
    <row r="41" spans="1:19" x14ac:dyDescent="0.25">
      <c r="A41" t="s">
        <v>334</v>
      </c>
      <c r="B41" t="s">
        <v>335</v>
      </c>
      <c r="C41">
        <v>2021</v>
      </c>
      <c r="F41" t="s">
        <v>336</v>
      </c>
      <c r="G41" t="s">
        <v>337</v>
      </c>
      <c r="H41">
        <v>19</v>
      </c>
      <c r="I41">
        <v>4</v>
      </c>
      <c r="J41" t="s">
        <v>338</v>
      </c>
      <c r="K41" t="s">
        <v>339</v>
      </c>
      <c r="L41" t="s">
        <v>340</v>
      </c>
      <c r="Q41" t="s">
        <v>341</v>
      </c>
      <c r="R41" t="s">
        <v>342</v>
      </c>
      <c r="S41" t="s">
        <v>30</v>
      </c>
    </row>
    <row r="42" spans="1:19" x14ac:dyDescent="0.25">
      <c r="A42" t="s">
        <v>343</v>
      </c>
      <c r="B42" t="s">
        <v>344</v>
      </c>
      <c r="C42">
        <v>2016</v>
      </c>
      <c r="F42" t="s">
        <v>65</v>
      </c>
      <c r="G42" t="s">
        <v>66</v>
      </c>
      <c r="H42">
        <v>12</v>
      </c>
      <c r="I42">
        <v>3</v>
      </c>
      <c r="J42" t="s">
        <v>345</v>
      </c>
      <c r="K42" t="s">
        <v>346</v>
      </c>
      <c r="L42" t="s">
        <v>347</v>
      </c>
      <c r="Q42" t="s">
        <v>348</v>
      </c>
      <c r="R42" t="s">
        <v>349</v>
      </c>
      <c r="S42" t="s">
        <v>30</v>
      </c>
    </row>
    <row r="43" spans="1:19" x14ac:dyDescent="0.25">
      <c r="A43" t="s">
        <v>350</v>
      </c>
      <c r="B43" t="s">
        <v>351</v>
      </c>
      <c r="C43">
        <v>2020</v>
      </c>
      <c r="F43" t="s">
        <v>315</v>
      </c>
      <c r="H43">
        <v>114</v>
      </c>
      <c r="J43" t="s">
        <v>352</v>
      </c>
      <c r="K43" t="s">
        <v>353</v>
      </c>
      <c r="L43" t="s">
        <v>354</v>
      </c>
      <c r="Q43" t="s">
        <v>355</v>
      </c>
      <c r="S43" t="s">
        <v>30</v>
      </c>
    </row>
    <row r="44" spans="1:19" x14ac:dyDescent="0.25">
      <c r="A44" t="s">
        <v>356</v>
      </c>
      <c r="B44" t="s">
        <v>357</v>
      </c>
      <c r="C44">
        <v>2016</v>
      </c>
      <c r="F44" t="s">
        <v>223</v>
      </c>
      <c r="H44">
        <v>58</v>
      </c>
      <c r="I44">
        <v>4</v>
      </c>
      <c r="J44" t="s">
        <v>358</v>
      </c>
      <c r="K44" t="s">
        <v>359</v>
      </c>
      <c r="L44" t="s">
        <v>360</v>
      </c>
      <c r="O44" t="s">
        <v>361</v>
      </c>
      <c r="Q44" t="s">
        <v>362</v>
      </c>
      <c r="S44" t="s">
        <v>30</v>
      </c>
    </row>
    <row r="45" spans="1:19" x14ac:dyDescent="0.25">
      <c r="A45" t="s">
        <v>363</v>
      </c>
      <c r="B45" t="s">
        <v>364</v>
      </c>
      <c r="C45">
        <v>2019</v>
      </c>
      <c r="F45" t="s">
        <v>315</v>
      </c>
      <c r="H45">
        <v>92</v>
      </c>
      <c r="J45" t="s">
        <v>365</v>
      </c>
      <c r="K45" t="s">
        <v>366</v>
      </c>
      <c r="L45" t="s">
        <v>367</v>
      </c>
      <c r="Q45" t="s">
        <v>368</v>
      </c>
      <c r="S45" t="s">
        <v>30</v>
      </c>
    </row>
    <row r="46" spans="1:19" x14ac:dyDescent="0.25">
      <c r="A46" t="s">
        <v>369</v>
      </c>
      <c r="B46" t="s">
        <v>370</v>
      </c>
      <c r="C46">
        <v>2022</v>
      </c>
      <c r="F46" t="s">
        <v>371</v>
      </c>
      <c r="H46">
        <v>4</v>
      </c>
      <c r="I46">
        <v>3</v>
      </c>
      <c r="K46" t="s">
        <v>372</v>
      </c>
      <c r="L46" t="s">
        <v>373</v>
      </c>
      <c r="Q46" t="s">
        <v>374</v>
      </c>
      <c r="R46" t="s">
        <v>375</v>
      </c>
      <c r="S46" t="s">
        <v>30</v>
      </c>
    </row>
    <row r="47" spans="1:19" x14ac:dyDescent="0.25">
      <c r="A47" t="s">
        <v>376</v>
      </c>
      <c r="B47" t="s">
        <v>377</v>
      </c>
      <c r="C47">
        <v>2019</v>
      </c>
      <c r="F47" t="s">
        <v>378</v>
      </c>
      <c r="G47" t="s">
        <v>379</v>
      </c>
      <c r="H47">
        <v>19</v>
      </c>
      <c r="I47">
        <v>8</v>
      </c>
      <c r="J47" t="s">
        <v>380</v>
      </c>
      <c r="K47" t="s">
        <v>381</v>
      </c>
      <c r="L47" t="s">
        <v>382</v>
      </c>
      <c r="Q47" t="s">
        <v>383</v>
      </c>
      <c r="R47" t="s">
        <v>384</v>
      </c>
      <c r="S47" t="s">
        <v>30</v>
      </c>
    </row>
    <row r="48" spans="1:19" x14ac:dyDescent="0.25">
      <c r="A48" t="s">
        <v>385</v>
      </c>
      <c r="B48" t="s">
        <v>386</v>
      </c>
      <c r="C48">
        <v>2022</v>
      </c>
      <c r="F48" t="s">
        <v>387</v>
      </c>
      <c r="G48" t="s">
        <v>388</v>
      </c>
      <c r="H48">
        <v>58</v>
      </c>
      <c r="K48" t="s">
        <v>389</v>
      </c>
      <c r="L48" t="s">
        <v>390</v>
      </c>
      <c r="Q48" t="s">
        <v>391</v>
      </c>
      <c r="R48" t="s">
        <v>392</v>
      </c>
      <c r="S48" t="s">
        <v>30</v>
      </c>
    </row>
    <row r="49" spans="1:19" x14ac:dyDescent="0.25">
      <c r="A49" t="s">
        <v>393</v>
      </c>
      <c r="B49" t="s">
        <v>394</v>
      </c>
      <c r="C49">
        <v>2021</v>
      </c>
      <c r="F49" t="s">
        <v>395</v>
      </c>
      <c r="H49">
        <v>280</v>
      </c>
      <c r="J49" t="s">
        <v>396</v>
      </c>
      <c r="K49" t="s">
        <v>397</v>
      </c>
      <c r="L49" t="s">
        <v>398</v>
      </c>
      <c r="Q49" t="s">
        <v>399</v>
      </c>
      <c r="R49" t="s">
        <v>400</v>
      </c>
      <c r="S49" t="s">
        <v>401</v>
      </c>
    </row>
    <row r="50" spans="1:19" x14ac:dyDescent="0.25">
      <c r="A50" t="s">
        <v>402</v>
      </c>
      <c r="B50" t="s">
        <v>403</v>
      </c>
      <c r="C50">
        <v>2021</v>
      </c>
      <c r="F50" t="s">
        <v>315</v>
      </c>
      <c r="H50">
        <v>126</v>
      </c>
      <c r="J50" t="s">
        <v>404</v>
      </c>
      <c r="K50" t="s">
        <v>405</v>
      </c>
      <c r="L50" t="s">
        <v>406</v>
      </c>
      <c r="Q50" t="s">
        <v>407</v>
      </c>
      <c r="S50" t="s">
        <v>30</v>
      </c>
    </row>
    <row r="51" spans="1:19" x14ac:dyDescent="0.25">
      <c r="A51" t="s">
        <v>408</v>
      </c>
      <c r="B51" t="s">
        <v>409</v>
      </c>
      <c r="C51">
        <v>2021</v>
      </c>
      <c r="F51" t="s">
        <v>410</v>
      </c>
      <c r="G51" t="s">
        <v>411</v>
      </c>
      <c r="H51">
        <v>47</v>
      </c>
      <c r="I51">
        <v>4</v>
      </c>
      <c r="J51" t="s">
        <v>412</v>
      </c>
      <c r="K51" t="s">
        <v>413</v>
      </c>
      <c r="L51" t="s">
        <v>414</v>
      </c>
      <c r="Q51" t="s">
        <v>415</v>
      </c>
      <c r="R51" t="s">
        <v>416</v>
      </c>
      <c r="S51" t="s">
        <v>30</v>
      </c>
    </row>
    <row r="52" spans="1:19" x14ac:dyDescent="0.25">
      <c r="A52" t="s">
        <v>417</v>
      </c>
      <c r="B52" t="s">
        <v>418</v>
      </c>
      <c r="C52">
        <v>2019</v>
      </c>
      <c r="F52" t="s">
        <v>419</v>
      </c>
      <c r="H52">
        <v>662</v>
      </c>
      <c r="J52" t="s">
        <v>420</v>
      </c>
      <c r="K52" t="s">
        <v>421</v>
      </c>
      <c r="L52" t="s">
        <v>422</v>
      </c>
      <c r="Q52" t="s">
        <v>423</v>
      </c>
      <c r="R52" t="s">
        <v>424</v>
      </c>
      <c r="S52" t="s">
        <v>425</v>
      </c>
    </row>
    <row r="53" spans="1:19" x14ac:dyDescent="0.25">
      <c r="A53" t="s">
        <v>426</v>
      </c>
      <c r="B53" t="s">
        <v>427</v>
      </c>
      <c r="C53">
        <v>2015</v>
      </c>
      <c r="F53" t="s">
        <v>428</v>
      </c>
      <c r="H53">
        <v>53</v>
      </c>
      <c r="I53">
        <v>4</v>
      </c>
      <c r="J53" t="s">
        <v>429</v>
      </c>
      <c r="K53" t="s">
        <v>430</v>
      </c>
      <c r="L53" t="s">
        <v>431</v>
      </c>
      <c r="Q53" t="s">
        <v>432</v>
      </c>
      <c r="R53" t="s">
        <v>433</v>
      </c>
      <c r="S53" t="s">
        <v>434</v>
      </c>
    </row>
    <row r="54" spans="1:19" x14ac:dyDescent="0.25">
      <c r="A54" t="s">
        <v>435</v>
      </c>
      <c r="B54" t="s">
        <v>436</v>
      </c>
      <c r="C54">
        <v>2017</v>
      </c>
      <c r="F54" t="s">
        <v>437</v>
      </c>
      <c r="H54">
        <v>8</v>
      </c>
      <c r="I54">
        <v>1</v>
      </c>
      <c r="J54" t="s">
        <v>438</v>
      </c>
      <c r="K54" t="s">
        <v>439</v>
      </c>
      <c r="L54" t="s">
        <v>440</v>
      </c>
      <c r="Q54" t="s">
        <v>441</v>
      </c>
      <c r="R54" t="s">
        <v>442</v>
      </c>
      <c r="S54" t="s">
        <v>443</v>
      </c>
    </row>
    <row r="55" spans="1:19" x14ac:dyDescent="0.25">
      <c r="A55" t="s">
        <v>444</v>
      </c>
      <c r="B55" t="s">
        <v>445</v>
      </c>
      <c r="C55">
        <v>2017</v>
      </c>
      <c r="F55" t="s">
        <v>315</v>
      </c>
      <c r="H55">
        <v>73</v>
      </c>
      <c r="J55" t="s">
        <v>446</v>
      </c>
      <c r="K55" t="s">
        <v>447</v>
      </c>
      <c r="L55" t="s">
        <v>448</v>
      </c>
      <c r="Q55" t="s">
        <v>407</v>
      </c>
      <c r="S55" t="s">
        <v>30</v>
      </c>
    </row>
    <row r="56" spans="1:19" x14ac:dyDescent="0.25">
      <c r="A56" t="s">
        <v>449</v>
      </c>
      <c r="B56" t="s">
        <v>450</v>
      </c>
      <c r="C56">
        <v>2017</v>
      </c>
      <c r="F56" t="s">
        <v>451</v>
      </c>
      <c r="H56">
        <v>9</v>
      </c>
      <c r="I56">
        <v>11</v>
      </c>
      <c r="K56" t="s">
        <v>452</v>
      </c>
      <c r="L56" t="s">
        <v>453</v>
      </c>
      <c r="Q56" t="s">
        <v>454</v>
      </c>
      <c r="R56" t="s">
        <v>455</v>
      </c>
      <c r="S56" t="s">
        <v>30</v>
      </c>
    </row>
    <row r="57" spans="1:19" x14ac:dyDescent="0.25">
      <c r="A57" t="s">
        <v>456</v>
      </c>
      <c r="B57" t="s">
        <v>457</v>
      </c>
      <c r="C57">
        <v>2016</v>
      </c>
      <c r="F57" t="s">
        <v>458</v>
      </c>
      <c r="G57" t="s">
        <v>459</v>
      </c>
      <c r="H57">
        <v>7</v>
      </c>
      <c r="I57">
        <v>1</v>
      </c>
      <c r="J57" t="s">
        <v>460</v>
      </c>
      <c r="K57" t="s">
        <v>461</v>
      </c>
      <c r="L57" t="s">
        <v>462</v>
      </c>
      <c r="Q57" t="s">
        <v>463</v>
      </c>
      <c r="R57" t="s">
        <v>464</v>
      </c>
      <c r="S57" t="s">
        <v>30</v>
      </c>
    </row>
    <row r="58" spans="1:19" x14ac:dyDescent="0.25">
      <c r="A58" t="s">
        <v>465</v>
      </c>
      <c r="B58" t="s">
        <v>466</v>
      </c>
      <c r="C58">
        <v>2020</v>
      </c>
      <c r="F58" t="s">
        <v>467</v>
      </c>
      <c r="H58">
        <v>50</v>
      </c>
      <c r="I58">
        <v>5</v>
      </c>
      <c r="J58" t="s">
        <v>468</v>
      </c>
      <c r="K58" t="s">
        <v>469</v>
      </c>
      <c r="L58" t="s">
        <v>470</v>
      </c>
      <c r="O58" t="s">
        <v>471</v>
      </c>
      <c r="Q58" t="s">
        <v>472</v>
      </c>
      <c r="S58" t="s">
        <v>30</v>
      </c>
    </row>
    <row r="59" spans="1:19" x14ac:dyDescent="0.25">
      <c r="A59" t="s">
        <v>473</v>
      </c>
      <c r="B59" t="s">
        <v>474</v>
      </c>
      <c r="C59">
        <v>2017</v>
      </c>
      <c r="F59" t="s">
        <v>475</v>
      </c>
      <c r="G59" t="s">
        <v>476</v>
      </c>
      <c r="H59">
        <v>61</v>
      </c>
      <c r="J59" t="s">
        <v>477</v>
      </c>
      <c r="K59" t="s">
        <v>478</v>
      </c>
      <c r="L59" t="s">
        <v>479</v>
      </c>
      <c r="Q59" t="s">
        <v>480</v>
      </c>
      <c r="R59" t="s">
        <v>481</v>
      </c>
      <c r="S59" t="s">
        <v>30</v>
      </c>
    </row>
    <row r="60" spans="1:19" x14ac:dyDescent="0.25">
      <c r="A60" t="s">
        <v>482</v>
      </c>
      <c r="B60" t="s">
        <v>483</v>
      </c>
      <c r="C60">
        <v>2021</v>
      </c>
      <c r="F60" t="s">
        <v>371</v>
      </c>
      <c r="H60">
        <v>3</v>
      </c>
      <c r="I60">
        <v>6</v>
      </c>
      <c r="K60" t="s">
        <v>484</v>
      </c>
      <c r="L60" t="s">
        <v>485</v>
      </c>
      <c r="Q60" t="s">
        <v>486</v>
      </c>
      <c r="R60" t="s">
        <v>487</v>
      </c>
      <c r="S60" t="s">
        <v>30</v>
      </c>
    </row>
    <row r="61" spans="1:19" x14ac:dyDescent="0.25">
      <c r="A61" t="s">
        <v>488</v>
      </c>
      <c r="B61" t="s">
        <v>489</v>
      </c>
      <c r="C61">
        <v>2020</v>
      </c>
      <c r="F61" t="s">
        <v>490</v>
      </c>
      <c r="G61" t="s">
        <v>491</v>
      </c>
      <c r="H61">
        <v>22</v>
      </c>
      <c r="I61">
        <v>6</v>
      </c>
      <c r="J61" t="s">
        <v>492</v>
      </c>
      <c r="K61" t="s">
        <v>493</v>
      </c>
      <c r="L61" t="s">
        <v>494</v>
      </c>
      <c r="Q61" t="s">
        <v>495</v>
      </c>
      <c r="R61" t="s">
        <v>496</v>
      </c>
      <c r="S61" t="s">
        <v>30</v>
      </c>
    </row>
    <row r="62" spans="1:19" x14ac:dyDescent="0.25">
      <c r="A62" t="s">
        <v>497</v>
      </c>
      <c r="B62" t="s">
        <v>498</v>
      </c>
      <c r="C62">
        <v>2016</v>
      </c>
      <c r="F62" t="s">
        <v>223</v>
      </c>
      <c r="G62" t="s">
        <v>499</v>
      </c>
      <c r="H62">
        <v>58</v>
      </c>
      <c r="I62">
        <v>4</v>
      </c>
      <c r="J62" t="s">
        <v>500</v>
      </c>
      <c r="K62" t="s">
        <v>501</v>
      </c>
      <c r="L62" t="s">
        <v>502</v>
      </c>
      <c r="Q62" t="s">
        <v>503</v>
      </c>
      <c r="R62" t="s">
        <v>504</v>
      </c>
      <c r="S62" t="s">
        <v>30</v>
      </c>
    </row>
    <row r="63" spans="1:19" x14ac:dyDescent="0.25">
      <c r="A63" t="s">
        <v>505</v>
      </c>
      <c r="B63" t="s">
        <v>506</v>
      </c>
      <c r="C63">
        <v>2013</v>
      </c>
      <c r="F63" t="s">
        <v>395</v>
      </c>
      <c r="H63">
        <v>114</v>
      </c>
      <c r="J63" t="s">
        <v>507</v>
      </c>
      <c r="K63" t="s">
        <v>508</v>
      </c>
      <c r="L63" t="s">
        <v>509</v>
      </c>
      <c r="O63" t="s">
        <v>510</v>
      </c>
      <c r="Q63" t="s">
        <v>511</v>
      </c>
      <c r="S63" t="s">
        <v>30</v>
      </c>
    </row>
    <row r="64" spans="1:19" x14ac:dyDescent="0.25">
      <c r="A64" t="s">
        <v>512</v>
      </c>
      <c r="B64" t="s">
        <v>513</v>
      </c>
      <c r="C64">
        <v>2019</v>
      </c>
      <c r="F64" t="s">
        <v>514</v>
      </c>
      <c r="H64">
        <v>23</v>
      </c>
      <c r="I64">
        <v>5</v>
      </c>
      <c r="J64" t="s">
        <v>515</v>
      </c>
      <c r="K64" t="s">
        <v>516</v>
      </c>
      <c r="L64" t="s">
        <v>517</v>
      </c>
      <c r="Q64" t="s">
        <v>518</v>
      </c>
      <c r="R64" t="s">
        <v>519</v>
      </c>
      <c r="S64" t="s">
        <v>520</v>
      </c>
    </row>
    <row r="65" spans="1:19" x14ac:dyDescent="0.25">
      <c r="A65" t="s">
        <v>521</v>
      </c>
      <c r="B65" t="s">
        <v>522</v>
      </c>
      <c r="C65">
        <v>2018</v>
      </c>
      <c r="H65">
        <v>184</v>
      </c>
      <c r="J65" t="s">
        <v>523</v>
      </c>
      <c r="K65" t="s">
        <v>524</v>
      </c>
      <c r="L65" t="s">
        <v>525</v>
      </c>
      <c r="N65" t="s">
        <v>526</v>
      </c>
      <c r="Q65" t="s">
        <v>527</v>
      </c>
      <c r="R65" t="s">
        <v>528</v>
      </c>
      <c r="S65" t="s">
        <v>529</v>
      </c>
    </row>
    <row r="66" spans="1:19" x14ac:dyDescent="0.25">
      <c r="A66" t="s">
        <v>530</v>
      </c>
      <c r="B66" t="s">
        <v>531</v>
      </c>
      <c r="C66">
        <v>2014</v>
      </c>
      <c r="F66" t="s">
        <v>532</v>
      </c>
      <c r="H66">
        <v>29</v>
      </c>
      <c r="J66" t="s">
        <v>533</v>
      </c>
      <c r="K66" t="s">
        <v>534</v>
      </c>
      <c r="L66" t="s">
        <v>535</v>
      </c>
      <c r="Q66" t="s">
        <v>536</v>
      </c>
      <c r="R66" t="s">
        <v>537</v>
      </c>
      <c r="S66" t="s">
        <v>538</v>
      </c>
    </row>
    <row r="67" spans="1:19" x14ac:dyDescent="0.25">
      <c r="A67" t="s">
        <v>539</v>
      </c>
      <c r="B67" t="s">
        <v>540</v>
      </c>
      <c r="C67">
        <v>2019</v>
      </c>
      <c r="F67" t="s">
        <v>74</v>
      </c>
      <c r="G67" t="s">
        <v>75</v>
      </c>
      <c r="H67">
        <v>28</v>
      </c>
      <c r="I67">
        <v>13</v>
      </c>
      <c r="J67" t="s">
        <v>541</v>
      </c>
      <c r="K67" t="s">
        <v>542</v>
      </c>
      <c r="L67" t="s">
        <v>543</v>
      </c>
      <c r="Q67" t="s">
        <v>544</v>
      </c>
      <c r="R67" t="s">
        <v>545</v>
      </c>
      <c r="S67" t="s">
        <v>30</v>
      </c>
    </row>
    <row r="68" spans="1:19" x14ac:dyDescent="0.25">
      <c r="A68" t="s">
        <v>546</v>
      </c>
      <c r="B68" t="s">
        <v>547</v>
      </c>
      <c r="C68">
        <v>2017</v>
      </c>
      <c r="F68" t="s">
        <v>315</v>
      </c>
      <c r="H68">
        <v>78</v>
      </c>
      <c r="J68" t="s">
        <v>548</v>
      </c>
      <c r="K68" t="s">
        <v>549</v>
      </c>
      <c r="L68" t="s">
        <v>550</v>
      </c>
      <c r="Q68" t="s">
        <v>368</v>
      </c>
      <c r="S68" t="s">
        <v>30</v>
      </c>
    </row>
    <row r="69" spans="1:19" x14ac:dyDescent="0.25">
      <c r="A69" t="s">
        <v>551</v>
      </c>
      <c r="B69" t="s">
        <v>552</v>
      </c>
      <c r="C69">
        <v>2022</v>
      </c>
      <c r="F69" t="s">
        <v>553</v>
      </c>
      <c r="G69">
        <v>25608320</v>
      </c>
      <c r="H69">
        <v>15</v>
      </c>
      <c r="K69" t="s">
        <v>554</v>
      </c>
      <c r="L69" t="s">
        <v>555</v>
      </c>
      <c r="Q69" t="s">
        <v>556</v>
      </c>
      <c r="R69" t="s">
        <v>557</v>
      </c>
      <c r="S69" t="s">
        <v>558</v>
      </c>
    </row>
    <row r="70" spans="1:19" x14ac:dyDescent="0.25">
      <c r="A70" t="s">
        <v>559</v>
      </c>
      <c r="B70" t="s">
        <v>560</v>
      </c>
      <c r="C70">
        <v>2016</v>
      </c>
      <c r="F70" t="s">
        <v>83</v>
      </c>
      <c r="G70" t="s">
        <v>84</v>
      </c>
      <c r="H70">
        <v>73</v>
      </c>
      <c r="J70" t="s">
        <v>561</v>
      </c>
      <c r="K70" t="s">
        <v>562</v>
      </c>
      <c r="L70" t="s">
        <v>563</v>
      </c>
      <c r="Q70" t="s">
        <v>564</v>
      </c>
      <c r="R70" t="s">
        <v>565</v>
      </c>
      <c r="S70" t="s">
        <v>30</v>
      </c>
    </row>
    <row r="71" spans="1:19" x14ac:dyDescent="0.25">
      <c r="A71" t="s">
        <v>566</v>
      </c>
      <c r="B71" t="s">
        <v>567</v>
      </c>
      <c r="C71">
        <v>2018</v>
      </c>
      <c r="F71" t="s">
        <v>568</v>
      </c>
      <c r="H71">
        <v>14</v>
      </c>
      <c r="I71">
        <v>3</v>
      </c>
      <c r="J71" t="s">
        <v>569</v>
      </c>
      <c r="K71" t="s">
        <v>570</v>
      </c>
      <c r="L71" t="s">
        <v>571</v>
      </c>
      <c r="Q71" t="s">
        <v>572</v>
      </c>
      <c r="S71" t="s">
        <v>573</v>
      </c>
    </row>
    <row r="72" spans="1:19" x14ac:dyDescent="0.25">
      <c r="A72" t="s">
        <v>574</v>
      </c>
      <c r="B72" t="s">
        <v>575</v>
      </c>
      <c r="C72">
        <v>2021</v>
      </c>
      <c r="F72" t="s">
        <v>576</v>
      </c>
      <c r="G72" t="s">
        <v>577</v>
      </c>
      <c r="H72">
        <v>58</v>
      </c>
      <c r="I72">
        <v>6</v>
      </c>
      <c r="J72" t="s">
        <v>578</v>
      </c>
      <c r="K72" t="s">
        <v>579</v>
      </c>
      <c r="L72" t="s">
        <v>580</v>
      </c>
      <c r="Q72" t="s">
        <v>581</v>
      </c>
      <c r="R72" t="s">
        <v>582</v>
      </c>
      <c r="S72" t="s">
        <v>30</v>
      </c>
    </row>
    <row r="73" spans="1:19" x14ac:dyDescent="0.25">
      <c r="A73" t="s">
        <v>583</v>
      </c>
      <c r="B73" t="s">
        <v>584</v>
      </c>
      <c r="C73">
        <v>2015</v>
      </c>
      <c r="F73" t="s">
        <v>585</v>
      </c>
      <c r="H73">
        <v>11</v>
      </c>
      <c r="I73">
        <v>3</v>
      </c>
      <c r="J73" t="s">
        <v>586</v>
      </c>
      <c r="K73" t="s">
        <v>587</v>
      </c>
      <c r="L73" t="s">
        <v>588</v>
      </c>
      <c r="Q73" t="s">
        <v>589</v>
      </c>
      <c r="R73" t="s">
        <v>590</v>
      </c>
      <c r="S73" t="s">
        <v>591</v>
      </c>
    </row>
    <row r="74" spans="1:19" x14ac:dyDescent="0.25">
      <c r="A74" t="s">
        <v>592</v>
      </c>
      <c r="B74" t="s">
        <v>593</v>
      </c>
      <c r="C74">
        <v>2019</v>
      </c>
      <c r="F74" t="s">
        <v>594</v>
      </c>
      <c r="G74" t="s">
        <v>595</v>
      </c>
      <c r="H74">
        <v>190</v>
      </c>
      <c r="K74" t="s">
        <v>596</v>
      </c>
      <c r="L74" t="s">
        <v>597</v>
      </c>
      <c r="Q74" t="s">
        <v>598</v>
      </c>
      <c r="R74" t="s">
        <v>599</v>
      </c>
      <c r="S74" t="s">
        <v>30</v>
      </c>
    </row>
    <row r="75" spans="1:19" x14ac:dyDescent="0.25">
      <c r="A75" t="s">
        <v>600</v>
      </c>
      <c r="B75" t="s">
        <v>601</v>
      </c>
      <c r="C75">
        <v>2017</v>
      </c>
      <c r="F75" t="s">
        <v>602</v>
      </c>
      <c r="H75">
        <v>140</v>
      </c>
      <c r="I75">
        <v>3</v>
      </c>
      <c r="J75" t="s">
        <v>603</v>
      </c>
      <c r="K75" t="s">
        <v>604</v>
      </c>
      <c r="L75" t="s">
        <v>605</v>
      </c>
      <c r="Q75" t="s">
        <v>606</v>
      </c>
      <c r="R75" t="s">
        <v>607</v>
      </c>
      <c r="S75" t="s">
        <v>608</v>
      </c>
    </row>
    <row r="76" spans="1:19" x14ac:dyDescent="0.25">
      <c r="A76" t="s">
        <v>609</v>
      </c>
      <c r="B76" t="s">
        <v>610</v>
      </c>
      <c r="C76">
        <v>2020</v>
      </c>
      <c r="F76" t="s">
        <v>83</v>
      </c>
      <c r="G76" t="s">
        <v>84</v>
      </c>
      <c r="H76">
        <v>113</v>
      </c>
      <c r="K76" t="s">
        <v>611</v>
      </c>
      <c r="L76" t="s">
        <v>612</v>
      </c>
      <c r="Q76" t="s">
        <v>613</v>
      </c>
      <c r="R76" t="s">
        <v>614</v>
      </c>
      <c r="S76" t="s">
        <v>30</v>
      </c>
    </row>
    <row r="77" spans="1:19" x14ac:dyDescent="0.25">
      <c r="A77" t="s">
        <v>615</v>
      </c>
      <c r="B77" t="s">
        <v>616</v>
      </c>
      <c r="C77">
        <v>2022</v>
      </c>
      <c r="F77" t="s">
        <v>617</v>
      </c>
      <c r="H77">
        <v>607</v>
      </c>
      <c r="J77" t="s">
        <v>396</v>
      </c>
      <c r="K77" t="s">
        <v>618</v>
      </c>
      <c r="L77" t="s">
        <v>619</v>
      </c>
      <c r="Q77" t="s">
        <v>620</v>
      </c>
      <c r="R77" t="s">
        <v>621</v>
      </c>
      <c r="S77" t="s">
        <v>622</v>
      </c>
    </row>
    <row r="78" spans="1:19" x14ac:dyDescent="0.25">
      <c r="A78" t="s">
        <v>623</v>
      </c>
      <c r="B78" t="s">
        <v>624</v>
      </c>
      <c r="C78">
        <v>2020</v>
      </c>
      <c r="F78" t="s">
        <v>625</v>
      </c>
      <c r="H78">
        <v>75</v>
      </c>
      <c r="I78">
        <v>3</v>
      </c>
      <c r="J78" t="s">
        <v>173</v>
      </c>
      <c r="K78" t="s">
        <v>626</v>
      </c>
      <c r="L78" t="s">
        <v>627</v>
      </c>
      <c r="Q78" t="s">
        <v>628</v>
      </c>
      <c r="R78" t="s">
        <v>629</v>
      </c>
      <c r="S78" t="s">
        <v>630</v>
      </c>
    </row>
    <row r="79" spans="1:19" x14ac:dyDescent="0.25">
      <c r="A79" t="s">
        <v>631</v>
      </c>
      <c r="B79" t="s">
        <v>632</v>
      </c>
      <c r="C79">
        <v>2019</v>
      </c>
      <c r="F79" t="s">
        <v>633</v>
      </c>
      <c r="H79">
        <v>46</v>
      </c>
      <c r="I79">
        <v>4</v>
      </c>
      <c r="J79" t="s">
        <v>634</v>
      </c>
      <c r="K79" t="s">
        <v>635</v>
      </c>
      <c r="L79" t="s">
        <v>636</v>
      </c>
      <c r="Q79" t="s">
        <v>637</v>
      </c>
      <c r="R79" t="s">
        <v>638</v>
      </c>
      <c r="S79" t="s">
        <v>639</v>
      </c>
    </row>
    <row r="80" spans="1:19" x14ac:dyDescent="0.25">
      <c r="A80" t="s">
        <v>640</v>
      </c>
      <c r="B80" t="s">
        <v>641</v>
      </c>
      <c r="C80">
        <v>2022</v>
      </c>
      <c r="F80" t="s">
        <v>642</v>
      </c>
      <c r="H80">
        <v>31</v>
      </c>
      <c r="I80">
        <v>2</v>
      </c>
      <c r="J80" t="s">
        <v>643</v>
      </c>
      <c r="K80" t="s">
        <v>644</v>
      </c>
      <c r="L80" t="s">
        <v>645</v>
      </c>
      <c r="Q80" t="s">
        <v>646</v>
      </c>
      <c r="R80" t="s">
        <v>647</v>
      </c>
      <c r="S80" t="s">
        <v>648</v>
      </c>
    </row>
    <row r="81" spans="1:19" x14ac:dyDescent="0.25">
      <c r="A81" t="s">
        <v>649</v>
      </c>
      <c r="B81" t="s">
        <v>650</v>
      </c>
      <c r="C81">
        <v>2019</v>
      </c>
      <c r="F81" t="s">
        <v>315</v>
      </c>
      <c r="H81">
        <v>92</v>
      </c>
      <c r="J81" t="s">
        <v>651</v>
      </c>
      <c r="K81" t="s">
        <v>652</v>
      </c>
      <c r="L81" t="s">
        <v>653</v>
      </c>
      <c r="Q81" t="s">
        <v>654</v>
      </c>
      <c r="S81" t="s">
        <v>30</v>
      </c>
    </row>
    <row r="82" spans="1:19" x14ac:dyDescent="0.25">
      <c r="A82" t="s">
        <v>655</v>
      </c>
      <c r="B82" t="s">
        <v>656</v>
      </c>
      <c r="C82">
        <v>2021</v>
      </c>
      <c r="F82" t="s">
        <v>657</v>
      </c>
      <c r="H82">
        <v>27</v>
      </c>
      <c r="I82">
        <v>4</v>
      </c>
      <c r="J82" t="s">
        <v>658</v>
      </c>
      <c r="K82" t="s">
        <v>659</v>
      </c>
      <c r="L82" t="s">
        <v>660</v>
      </c>
      <c r="Q82" t="s">
        <v>661</v>
      </c>
      <c r="S82" t="s">
        <v>30</v>
      </c>
    </row>
    <row r="83" spans="1:19" x14ac:dyDescent="0.25">
      <c r="A83" t="s">
        <v>662</v>
      </c>
      <c r="B83" t="s">
        <v>663</v>
      </c>
      <c r="C83">
        <v>2012</v>
      </c>
      <c r="F83" t="s">
        <v>475</v>
      </c>
      <c r="G83" t="s">
        <v>476</v>
      </c>
      <c r="H83">
        <v>29</v>
      </c>
      <c r="I83">
        <v>1</v>
      </c>
      <c r="J83" s="1">
        <v>46296</v>
      </c>
      <c r="K83" t="s">
        <v>664</v>
      </c>
      <c r="L83" t="s">
        <v>665</v>
      </c>
      <c r="Q83" t="s">
        <v>666</v>
      </c>
      <c r="R83" t="s">
        <v>667</v>
      </c>
      <c r="S83" t="s">
        <v>30</v>
      </c>
    </row>
    <row r="84" spans="1:19" x14ac:dyDescent="0.25">
      <c r="A84" t="s">
        <v>668</v>
      </c>
      <c r="B84" t="s">
        <v>669</v>
      </c>
      <c r="C84">
        <v>2018</v>
      </c>
      <c r="F84" t="s">
        <v>419</v>
      </c>
      <c r="H84">
        <v>616</v>
      </c>
      <c r="J84" t="s">
        <v>670</v>
      </c>
      <c r="K84" t="s">
        <v>671</v>
      </c>
      <c r="L84" t="s">
        <v>672</v>
      </c>
      <c r="Q84" t="s">
        <v>673</v>
      </c>
      <c r="R84" t="s">
        <v>674</v>
      </c>
      <c r="S84" t="s">
        <v>675</v>
      </c>
    </row>
    <row r="85" spans="1:19" x14ac:dyDescent="0.25">
      <c r="A85" t="s">
        <v>676</v>
      </c>
      <c r="B85" t="s">
        <v>677</v>
      </c>
      <c r="C85">
        <v>2022</v>
      </c>
      <c r="F85" t="s">
        <v>678</v>
      </c>
      <c r="G85" t="s">
        <v>679</v>
      </c>
      <c r="H85">
        <v>135</v>
      </c>
      <c r="K85" t="s">
        <v>680</v>
      </c>
      <c r="L85" t="s">
        <v>681</v>
      </c>
      <c r="Q85" t="s">
        <v>682</v>
      </c>
      <c r="R85" t="s">
        <v>683</v>
      </c>
      <c r="S85" t="s">
        <v>30</v>
      </c>
    </row>
    <row r="86" spans="1:19" x14ac:dyDescent="0.25">
      <c r="A86" t="s">
        <v>684</v>
      </c>
      <c r="B86" t="s">
        <v>685</v>
      </c>
      <c r="C86">
        <v>2021</v>
      </c>
      <c r="F86" t="s">
        <v>686</v>
      </c>
      <c r="H86">
        <v>51</v>
      </c>
      <c r="I86">
        <v>2</v>
      </c>
      <c r="J86" t="s">
        <v>687</v>
      </c>
      <c r="K86" t="s">
        <v>688</v>
      </c>
      <c r="L86" t="s">
        <v>689</v>
      </c>
      <c r="Q86" t="s">
        <v>690</v>
      </c>
      <c r="R86" t="s">
        <v>691</v>
      </c>
      <c r="S86" t="s">
        <v>692</v>
      </c>
    </row>
    <row r="87" spans="1:19" x14ac:dyDescent="0.25">
      <c r="A87" t="s">
        <v>693</v>
      </c>
      <c r="B87" t="s">
        <v>694</v>
      </c>
      <c r="C87">
        <v>2019</v>
      </c>
      <c r="F87" t="s">
        <v>395</v>
      </c>
      <c r="H87">
        <v>249</v>
      </c>
      <c r="J87" t="s">
        <v>695</v>
      </c>
      <c r="K87" t="s">
        <v>696</v>
      </c>
      <c r="L87" t="s">
        <v>697</v>
      </c>
      <c r="O87" t="s">
        <v>698</v>
      </c>
      <c r="Q87" t="s">
        <v>699</v>
      </c>
      <c r="S87" t="s">
        <v>30</v>
      </c>
    </row>
    <row r="88" spans="1:19" x14ac:dyDescent="0.25">
      <c r="A88" t="s">
        <v>700</v>
      </c>
      <c r="B88" t="s">
        <v>701</v>
      </c>
      <c r="C88">
        <v>2015</v>
      </c>
      <c r="F88" t="s">
        <v>131</v>
      </c>
      <c r="H88">
        <v>184</v>
      </c>
      <c r="J88" t="s">
        <v>702</v>
      </c>
      <c r="K88" t="s">
        <v>703</v>
      </c>
      <c r="L88" t="s">
        <v>704</v>
      </c>
      <c r="Q88" t="s">
        <v>705</v>
      </c>
      <c r="R88" t="s">
        <v>706</v>
      </c>
      <c r="S88" t="s">
        <v>707</v>
      </c>
    </row>
    <row r="89" spans="1:19" x14ac:dyDescent="0.25">
      <c r="A89" t="s">
        <v>708</v>
      </c>
      <c r="B89" t="s">
        <v>709</v>
      </c>
      <c r="C89">
        <v>2021</v>
      </c>
      <c r="F89" t="s">
        <v>710</v>
      </c>
      <c r="H89">
        <v>33</v>
      </c>
      <c r="I89">
        <v>4</v>
      </c>
      <c r="J89" t="s">
        <v>711</v>
      </c>
      <c r="K89" t="s">
        <v>712</v>
      </c>
      <c r="L89" t="s">
        <v>713</v>
      </c>
      <c r="Q89" t="s">
        <v>714</v>
      </c>
      <c r="R89" t="s">
        <v>715</v>
      </c>
      <c r="S89" t="s">
        <v>716</v>
      </c>
    </row>
    <row r="90" spans="1:19" x14ac:dyDescent="0.25">
      <c r="A90" t="s">
        <v>717</v>
      </c>
      <c r="B90" t="s">
        <v>718</v>
      </c>
      <c r="C90">
        <v>2019</v>
      </c>
      <c r="F90" t="s">
        <v>719</v>
      </c>
      <c r="G90" t="s">
        <v>720</v>
      </c>
      <c r="H90">
        <v>28</v>
      </c>
      <c r="K90" t="s">
        <v>721</v>
      </c>
      <c r="L90" t="s">
        <v>722</v>
      </c>
      <c r="Q90" t="s">
        <v>723</v>
      </c>
      <c r="R90" t="s">
        <v>724</v>
      </c>
      <c r="S90" t="s">
        <v>30</v>
      </c>
    </row>
    <row r="91" spans="1:19" x14ac:dyDescent="0.25">
      <c r="A91" t="s">
        <v>725</v>
      </c>
      <c r="B91" t="s">
        <v>726</v>
      </c>
      <c r="C91">
        <v>2019</v>
      </c>
      <c r="F91" t="s">
        <v>315</v>
      </c>
      <c r="H91">
        <v>94</v>
      </c>
      <c r="J91" t="s">
        <v>727</v>
      </c>
      <c r="K91" t="s">
        <v>728</v>
      </c>
      <c r="L91" t="s">
        <v>729</v>
      </c>
      <c r="Q91" t="s">
        <v>730</v>
      </c>
      <c r="S91" t="s">
        <v>30</v>
      </c>
    </row>
    <row r="92" spans="1:19" x14ac:dyDescent="0.25">
      <c r="A92" t="s">
        <v>731</v>
      </c>
      <c r="B92" t="s">
        <v>732</v>
      </c>
      <c r="C92">
        <v>2014</v>
      </c>
      <c r="F92" t="s">
        <v>733</v>
      </c>
      <c r="G92" t="s">
        <v>734</v>
      </c>
      <c r="H92">
        <v>42</v>
      </c>
      <c r="I92">
        <v>6</v>
      </c>
      <c r="J92" t="s">
        <v>735</v>
      </c>
      <c r="K92" t="s">
        <v>736</v>
      </c>
      <c r="L92" t="s">
        <v>737</v>
      </c>
      <c r="Q92" t="s">
        <v>738</v>
      </c>
      <c r="R92" t="s">
        <v>739</v>
      </c>
      <c r="S92" t="s">
        <v>30</v>
      </c>
    </row>
    <row r="93" spans="1:19" x14ac:dyDescent="0.25">
      <c r="A93" t="s">
        <v>740</v>
      </c>
      <c r="B93" t="s">
        <v>741</v>
      </c>
      <c r="C93">
        <v>2020</v>
      </c>
      <c r="F93" t="s">
        <v>742</v>
      </c>
      <c r="G93" t="s">
        <v>743</v>
      </c>
      <c r="H93">
        <v>3</v>
      </c>
      <c r="I93">
        <v>3</v>
      </c>
      <c r="K93" t="s">
        <v>744</v>
      </c>
      <c r="L93" t="s">
        <v>745</v>
      </c>
      <c r="Q93" t="s">
        <v>746</v>
      </c>
      <c r="R93" t="s">
        <v>747</v>
      </c>
      <c r="S93" t="s">
        <v>30</v>
      </c>
    </row>
    <row r="94" spans="1:19" x14ac:dyDescent="0.25">
      <c r="A94" t="s">
        <v>748</v>
      </c>
      <c r="B94" t="s">
        <v>749</v>
      </c>
      <c r="C94">
        <v>2022</v>
      </c>
      <c r="F94" t="s">
        <v>750</v>
      </c>
      <c r="H94">
        <v>28</v>
      </c>
      <c r="I94">
        <v>2</v>
      </c>
      <c r="J94" t="s">
        <v>751</v>
      </c>
      <c r="K94" t="s">
        <v>752</v>
      </c>
      <c r="L94" t="s">
        <v>753</v>
      </c>
      <c r="Q94" t="s">
        <v>754</v>
      </c>
      <c r="R94" t="s">
        <v>755</v>
      </c>
      <c r="S94" t="s">
        <v>756</v>
      </c>
    </row>
    <row r="95" spans="1:19" x14ac:dyDescent="0.25">
      <c r="A95" t="s">
        <v>757</v>
      </c>
      <c r="B95" t="s">
        <v>758</v>
      </c>
      <c r="C95">
        <v>2016</v>
      </c>
      <c r="F95" t="s">
        <v>759</v>
      </c>
      <c r="G95" t="s">
        <v>760</v>
      </c>
      <c r="H95">
        <v>92</v>
      </c>
      <c r="I95">
        <v>2</v>
      </c>
      <c r="J95" t="s">
        <v>761</v>
      </c>
      <c r="K95" t="s">
        <v>762</v>
      </c>
      <c r="L95" t="s">
        <v>763</v>
      </c>
      <c r="Q95" t="s">
        <v>764</v>
      </c>
      <c r="R95" t="s">
        <v>765</v>
      </c>
      <c r="S95" t="s">
        <v>30</v>
      </c>
    </row>
    <row r="96" spans="1:19" x14ac:dyDescent="0.25">
      <c r="A96" t="s">
        <v>766</v>
      </c>
      <c r="B96" t="s">
        <v>767</v>
      </c>
      <c r="C96">
        <v>2014</v>
      </c>
      <c r="F96" t="s">
        <v>315</v>
      </c>
      <c r="H96">
        <v>41</v>
      </c>
      <c r="J96" t="s">
        <v>768</v>
      </c>
      <c r="K96" t="s">
        <v>769</v>
      </c>
      <c r="L96" t="s">
        <v>770</v>
      </c>
      <c r="Q96" t="s">
        <v>771</v>
      </c>
      <c r="S96" t="s">
        <v>30</v>
      </c>
    </row>
    <row r="97" spans="1:19" x14ac:dyDescent="0.25">
      <c r="A97" t="s">
        <v>772</v>
      </c>
      <c r="B97" t="s">
        <v>773</v>
      </c>
      <c r="C97">
        <v>2013</v>
      </c>
      <c r="F97" t="s">
        <v>774</v>
      </c>
      <c r="G97" t="s">
        <v>775</v>
      </c>
      <c r="H97">
        <v>27</v>
      </c>
      <c r="J97" t="s">
        <v>776</v>
      </c>
      <c r="K97" t="s">
        <v>777</v>
      </c>
      <c r="L97" t="s">
        <v>778</v>
      </c>
      <c r="Q97" t="s">
        <v>779</v>
      </c>
      <c r="R97" t="s">
        <v>780</v>
      </c>
      <c r="S97" t="s">
        <v>30</v>
      </c>
    </row>
    <row r="98" spans="1:19" x14ac:dyDescent="0.25">
      <c r="A98" t="s">
        <v>781</v>
      </c>
      <c r="B98" t="s">
        <v>782</v>
      </c>
      <c r="C98">
        <v>2021</v>
      </c>
      <c r="F98" t="s">
        <v>58</v>
      </c>
      <c r="H98">
        <v>8</v>
      </c>
      <c r="K98" t="s">
        <v>783</v>
      </c>
      <c r="L98" t="s">
        <v>784</v>
      </c>
      <c r="Q98" t="s">
        <v>785</v>
      </c>
      <c r="R98" t="s">
        <v>786</v>
      </c>
      <c r="S98" t="s">
        <v>30</v>
      </c>
    </row>
    <row r="99" spans="1:19" x14ac:dyDescent="0.25">
      <c r="A99" t="s">
        <v>787</v>
      </c>
      <c r="B99" t="s">
        <v>788</v>
      </c>
      <c r="C99">
        <v>2022</v>
      </c>
      <c r="F99" t="s">
        <v>451</v>
      </c>
      <c r="H99">
        <v>14</v>
      </c>
      <c r="I99">
        <v>3</v>
      </c>
      <c r="K99" t="s">
        <v>789</v>
      </c>
      <c r="L99" t="s">
        <v>790</v>
      </c>
      <c r="Q99" t="s">
        <v>791</v>
      </c>
      <c r="R99" t="s">
        <v>792</v>
      </c>
      <c r="S99" t="s">
        <v>30</v>
      </c>
    </row>
    <row r="100" spans="1:19" x14ac:dyDescent="0.25">
      <c r="A100" t="s">
        <v>793</v>
      </c>
      <c r="B100" t="s">
        <v>794</v>
      </c>
      <c r="C100">
        <v>2018</v>
      </c>
      <c r="F100" t="s">
        <v>795</v>
      </c>
      <c r="H100">
        <v>9</v>
      </c>
      <c r="I100">
        <v>9</v>
      </c>
      <c r="K100" t="s">
        <v>796</v>
      </c>
      <c r="L100" t="s">
        <v>797</v>
      </c>
      <c r="Q100" t="s">
        <v>798</v>
      </c>
      <c r="R100" t="s">
        <v>799</v>
      </c>
      <c r="S100" t="s">
        <v>30</v>
      </c>
    </row>
    <row r="101" spans="1:19" x14ac:dyDescent="0.25">
      <c r="A101" t="s">
        <v>800</v>
      </c>
      <c r="B101" t="s">
        <v>801</v>
      </c>
      <c r="C101">
        <v>2019</v>
      </c>
      <c r="F101" t="s">
        <v>802</v>
      </c>
      <c r="H101">
        <v>37</v>
      </c>
      <c r="I101">
        <v>1</v>
      </c>
      <c r="J101" t="s">
        <v>803</v>
      </c>
      <c r="K101" t="s">
        <v>804</v>
      </c>
      <c r="L101" t="s">
        <v>805</v>
      </c>
      <c r="Q101" t="s">
        <v>806</v>
      </c>
      <c r="R101" t="s">
        <v>807</v>
      </c>
      <c r="S101" t="s">
        <v>808</v>
      </c>
    </row>
    <row r="102" spans="1:19" x14ac:dyDescent="0.25">
      <c r="A102" t="s">
        <v>809</v>
      </c>
      <c r="B102" t="s">
        <v>810</v>
      </c>
      <c r="C102">
        <v>2022</v>
      </c>
      <c r="F102" t="s">
        <v>451</v>
      </c>
      <c r="H102">
        <v>14</v>
      </c>
      <c r="I102">
        <v>10</v>
      </c>
      <c r="K102" t="s">
        <v>811</v>
      </c>
      <c r="L102" t="s">
        <v>812</v>
      </c>
      <c r="Q102" t="s">
        <v>813</v>
      </c>
      <c r="R102" t="s">
        <v>814</v>
      </c>
      <c r="S102" t="s">
        <v>30</v>
      </c>
    </row>
    <row r="103" spans="1:19" x14ac:dyDescent="0.25">
      <c r="A103" t="s">
        <v>815</v>
      </c>
      <c r="B103" t="s">
        <v>816</v>
      </c>
      <c r="C103">
        <v>2016</v>
      </c>
      <c r="F103" t="s">
        <v>315</v>
      </c>
      <c r="H103">
        <v>61</v>
      </c>
      <c r="J103" t="s">
        <v>817</v>
      </c>
      <c r="K103" t="s">
        <v>818</v>
      </c>
      <c r="L103" t="s">
        <v>819</v>
      </c>
      <c r="Q103" t="s">
        <v>820</v>
      </c>
      <c r="S103" t="s">
        <v>30</v>
      </c>
    </row>
    <row r="104" spans="1:19" x14ac:dyDescent="0.25">
      <c r="A104" t="s">
        <v>821</v>
      </c>
      <c r="B104" t="s">
        <v>822</v>
      </c>
      <c r="C104">
        <v>2014</v>
      </c>
      <c r="F104" t="s">
        <v>823</v>
      </c>
      <c r="G104" t="s">
        <v>824</v>
      </c>
      <c r="H104">
        <v>27</v>
      </c>
      <c r="I104">
        <v>2</v>
      </c>
      <c r="J104" t="s">
        <v>825</v>
      </c>
      <c r="K104" t="s">
        <v>826</v>
      </c>
      <c r="L104" t="s">
        <v>827</v>
      </c>
      <c r="Q104" t="s">
        <v>828</v>
      </c>
      <c r="R104" t="s">
        <v>829</v>
      </c>
      <c r="S104" t="s">
        <v>30</v>
      </c>
    </row>
    <row r="105" spans="1:19" x14ac:dyDescent="0.25">
      <c r="A105" t="s">
        <v>830</v>
      </c>
      <c r="B105" t="s">
        <v>831</v>
      </c>
      <c r="C105">
        <v>2019</v>
      </c>
      <c r="F105" t="s">
        <v>832</v>
      </c>
      <c r="G105" t="s">
        <v>833</v>
      </c>
      <c r="K105" t="s">
        <v>834</v>
      </c>
      <c r="L105" t="s">
        <v>835</v>
      </c>
      <c r="Q105" t="s">
        <v>836</v>
      </c>
      <c r="R105" t="s">
        <v>837</v>
      </c>
      <c r="S105" t="s">
        <v>30</v>
      </c>
    </row>
    <row r="106" spans="1:19" x14ac:dyDescent="0.25">
      <c r="A106" t="s">
        <v>838</v>
      </c>
      <c r="B106" t="s">
        <v>839</v>
      </c>
      <c r="C106">
        <v>2018</v>
      </c>
      <c r="F106" t="s">
        <v>315</v>
      </c>
      <c r="H106">
        <v>88</v>
      </c>
      <c r="J106" t="s">
        <v>840</v>
      </c>
      <c r="K106" t="s">
        <v>841</v>
      </c>
      <c r="L106" t="s">
        <v>842</v>
      </c>
      <c r="Q106" t="s">
        <v>843</v>
      </c>
      <c r="S106" t="s">
        <v>30</v>
      </c>
    </row>
    <row r="107" spans="1:19" x14ac:dyDescent="0.25">
      <c r="A107" t="s">
        <v>844</v>
      </c>
      <c r="B107" t="s">
        <v>845</v>
      </c>
      <c r="C107">
        <v>2020</v>
      </c>
      <c r="F107" t="s">
        <v>451</v>
      </c>
      <c r="H107">
        <v>12</v>
      </c>
      <c r="I107">
        <v>10</v>
      </c>
      <c r="K107" t="s">
        <v>846</v>
      </c>
      <c r="L107" t="s">
        <v>847</v>
      </c>
      <c r="Q107" t="s">
        <v>848</v>
      </c>
      <c r="R107" t="s">
        <v>849</v>
      </c>
      <c r="S107" t="s">
        <v>30</v>
      </c>
    </row>
    <row r="108" spans="1:19" x14ac:dyDescent="0.25">
      <c r="A108" t="s">
        <v>850</v>
      </c>
      <c r="B108" t="s">
        <v>851</v>
      </c>
      <c r="C108">
        <v>2022</v>
      </c>
      <c r="F108" t="s">
        <v>315</v>
      </c>
      <c r="H108">
        <v>127</v>
      </c>
      <c r="J108" t="s">
        <v>852</v>
      </c>
      <c r="K108" t="s">
        <v>853</v>
      </c>
      <c r="L108" t="s">
        <v>854</v>
      </c>
      <c r="Q108" t="s">
        <v>855</v>
      </c>
      <c r="S108" t="s">
        <v>30</v>
      </c>
    </row>
    <row r="109" spans="1:19" x14ac:dyDescent="0.25">
      <c r="A109" t="s">
        <v>856</v>
      </c>
      <c r="B109" t="s">
        <v>857</v>
      </c>
      <c r="C109">
        <v>2017</v>
      </c>
      <c r="F109" t="s">
        <v>858</v>
      </c>
      <c r="H109">
        <v>7</v>
      </c>
      <c r="I109">
        <v>2</v>
      </c>
      <c r="J109" t="s">
        <v>859</v>
      </c>
      <c r="K109" t="s">
        <v>860</v>
      </c>
      <c r="L109" t="s">
        <v>861</v>
      </c>
      <c r="Q109" t="s">
        <v>862</v>
      </c>
      <c r="R109" t="s">
        <v>863</v>
      </c>
      <c r="S109" t="s">
        <v>864</v>
      </c>
    </row>
    <row r="110" spans="1:19" x14ac:dyDescent="0.25">
      <c r="A110" t="s">
        <v>865</v>
      </c>
      <c r="B110" t="s">
        <v>866</v>
      </c>
      <c r="C110">
        <v>2016</v>
      </c>
      <c r="F110" t="s">
        <v>678</v>
      </c>
      <c r="G110" t="s">
        <v>679</v>
      </c>
      <c r="H110">
        <v>69</v>
      </c>
      <c r="J110" t="s">
        <v>867</v>
      </c>
      <c r="K110" t="s">
        <v>868</v>
      </c>
      <c r="L110" t="s">
        <v>869</v>
      </c>
      <c r="Q110" t="s">
        <v>870</v>
      </c>
      <c r="R110" t="s">
        <v>871</v>
      </c>
      <c r="S110" t="s">
        <v>30</v>
      </c>
    </row>
    <row r="111" spans="1:19" x14ac:dyDescent="0.25">
      <c r="A111" t="s">
        <v>872</v>
      </c>
      <c r="B111" t="s">
        <v>873</v>
      </c>
      <c r="C111">
        <v>2022</v>
      </c>
      <c r="F111" t="s">
        <v>315</v>
      </c>
      <c r="H111">
        <v>129</v>
      </c>
      <c r="J111" t="s">
        <v>874</v>
      </c>
      <c r="K111" t="s">
        <v>875</v>
      </c>
      <c r="L111" t="s">
        <v>876</v>
      </c>
      <c r="Q111" t="s">
        <v>877</v>
      </c>
      <c r="S111" t="s">
        <v>30</v>
      </c>
    </row>
    <row r="112" spans="1:19" x14ac:dyDescent="0.25">
      <c r="A112" t="s">
        <v>878</v>
      </c>
      <c r="B112" t="s">
        <v>879</v>
      </c>
      <c r="C112">
        <v>2020</v>
      </c>
      <c r="F112" t="s">
        <v>880</v>
      </c>
      <c r="G112" t="s">
        <v>881</v>
      </c>
      <c r="H112">
        <v>6</v>
      </c>
      <c r="I112">
        <v>4</v>
      </c>
      <c r="J112" t="s">
        <v>882</v>
      </c>
      <c r="K112" t="s">
        <v>883</v>
      </c>
      <c r="L112" t="s">
        <v>884</v>
      </c>
      <c r="Q112" t="s">
        <v>885</v>
      </c>
      <c r="R112" t="s">
        <v>886</v>
      </c>
      <c r="S112" t="s">
        <v>30</v>
      </c>
    </row>
    <row r="113" spans="1:19" x14ac:dyDescent="0.25">
      <c r="A113" t="s">
        <v>887</v>
      </c>
      <c r="B113" t="s">
        <v>888</v>
      </c>
      <c r="C113">
        <v>2015</v>
      </c>
      <c r="F113" t="s">
        <v>889</v>
      </c>
      <c r="H113">
        <v>167</v>
      </c>
      <c r="J113" t="s">
        <v>890</v>
      </c>
      <c r="K113" t="s">
        <v>891</v>
      </c>
      <c r="L113" t="s">
        <v>892</v>
      </c>
      <c r="Q113" t="s">
        <v>893</v>
      </c>
      <c r="R113" t="s">
        <v>894</v>
      </c>
      <c r="S113" t="s">
        <v>895</v>
      </c>
    </row>
    <row r="114" spans="1:19" x14ac:dyDescent="0.25">
      <c r="A114" t="s">
        <v>896</v>
      </c>
      <c r="B114" t="s">
        <v>897</v>
      </c>
      <c r="C114">
        <v>2015</v>
      </c>
      <c r="F114" t="s">
        <v>898</v>
      </c>
      <c r="H114">
        <v>155</v>
      </c>
      <c r="J114" t="s">
        <v>899</v>
      </c>
      <c r="K114" t="s">
        <v>900</v>
      </c>
      <c r="L114" t="s">
        <v>901</v>
      </c>
      <c r="Q114" t="s">
        <v>902</v>
      </c>
      <c r="R114" t="s">
        <v>903</v>
      </c>
      <c r="S114" t="s">
        <v>904</v>
      </c>
    </row>
    <row r="115" spans="1:19" x14ac:dyDescent="0.25">
      <c r="A115" t="s">
        <v>905</v>
      </c>
      <c r="B115" t="s">
        <v>906</v>
      </c>
      <c r="C115">
        <v>2015</v>
      </c>
      <c r="F115" t="s">
        <v>907</v>
      </c>
      <c r="G115" t="s">
        <v>908</v>
      </c>
      <c r="H115">
        <v>7</v>
      </c>
      <c r="I115">
        <v>1</v>
      </c>
      <c r="J115" t="s">
        <v>909</v>
      </c>
      <c r="K115" t="s">
        <v>910</v>
      </c>
      <c r="L115" t="s">
        <v>911</v>
      </c>
      <c r="Q115" t="s">
        <v>912</v>
      </c>
      <c r="R115" t="s">
        <v>913</v>
      </c>
      <c r="S115" t="s">
        <v>30</v>
      </c>
    </row>
    <row r="116" spans="1:19" x14ac:dyDescent="0.25">
      <c r="A116" t="s">
        <v>914</v>
      </c>
      <c r="B116" t="s">
        <v>915</v>
      </c>
      <c r="C116">
        <v>2022</v>
      </c>
      <c r="F116" t="s">
        <v>916</v>
      </c>
      <c r="G116" t="s">
        <v>917</v>
      </c>
      <c r="H116">
        <v>24</v>
      </c>
      <c r="I116">
        <v>2</v>
      </c>
      <c r="J116" t="s">
        <v>918</v>
      </c>
      <c r="K116" t="s">
        <v>919</v>
      </c>
      <c r="L116" t="s">
        <v>920</v>
      </c>
      <c r="Q116" t="s">
        <v>921</v>
      </c>
      <c r="R116" t="s">
        <v>922</v>
      </c>
      <c r="S116" t="s">
        <v>30</v>
      </c>
    </row>
    <row r="117" spans="1:19" x14ac:dyDescent="0.25">
      <c r="A117" t="s">
        <v>923</v>
      </c>
      <c r="B117" t="s">
        <v>924</v>
      </c>
      <c r="C117">
        <v>2020</v>
      </c>
      <c r="F117" t="s">
        <v>108</v>
      </c>
      <c r="H117">
        <v>2</v>
      </c>
      <c r="I117">
        <v>12</v>
      </c>
      <c r="J117" s="2">
        <v>42005</v>
      </c>
      <c r="K117" t="s">
        <v>925</v>
      </c>
      <c r="L117" t="s">
        <v>926</v>
      </c>
      <c r="Q117" t="s">
        <v>927</v>
      </c>
      <c r="R117" t="s">
        <v>928</v>
      </c>
      <c r="S117" t="s">
        <v>929</v>
      </c>
    </row>
    <row r="118" spans="1:19" x14ac:dyDescent="0.25">
      <c r="A118" t="s">
        <v>930</v>
      </c>
      <c r="B118" t="s">
        <v>931</v>
      </c>
      <c r="C118">
        <v>2018</v>
      </c>
      <c r="F118" t="s">
        <v>932</v>
      </c>
      <c r="G118" t="s">
        <v>933</v>
      </c>
      <c r="H118">
        <v>151</v>
      </c>
      <c r="J118" t="s">
        <v>934</v>
      </c>
      <c r="K118" t="s">
        <v>935</v>
      </c>
      <c r="L118" t="s">
        <v>936</v>
      </c>
      <c r="Q118" t="s">
        <v>937</v>
      </c>
      <c r="R118" t="s">
        <v>938</v>
      </c>
      <c r="S118" t="s">
        <v>30</v>
      </c>
    </row>
    <row r="119" spans="1:19" x14ac:dyDescent="0.25">
      <c r="A119" t="s">
        <v>939</v>
      </c>
      <c r="B119" t="s">
        <v>940</v>
      </c>
      <c r="C119">
        <v>2012</v>
      </c>
      <c r="G119">
        <v>3784738</v>
      </c>
      <c r="H119">
        <v>38</v>
      </c>
      <c r="J119" t="s">
        <v>941</v>
      </c>
      <c r="K119" t="s">
        <v>942</v>
      </c>
      <c r="L119" t="s">
        <v>943</v>
      </c>
      <c r="Q119" t="s">
        <v>944</v>
      </c>
      <c r="S119" t="s">
        <v>945</v>
      </c>
    </row>
    <row r="120" spans="1:19" x14ac:dyDescent="0.25">
      <c r="A120" t="s">
        <v>946</v>
      </c>
      <c r="B120" t="s">
        <v>947</v>
      </c>
      <c r="C120">
        <v>2020</v>
      </c>
      <c r="F120" t="s">
        <v>948</v>
      </c>
      <c r="G120" t="s">
        <v>949</v>
      </c>
      <c r="H120">
        <v>251</v>
      </c>
      <c r="K120" t="s">
        <v>950</v>
      </c>
      <c r="L120" t="s">
        <v>951</v>
      </c>
      <c r="Q120" t="s">
        <v>952</v>
      </c>
      <c r="R120" t="s">
        <v>953</v>
      </c>
      <c r="S120" t="s">
        <v>30</v>
      </c>
    </row>
    <row r="121" spans="1:19" x14ac:dyDescent="0.25">
      <c r="A121" t="s">
        <v>954</v>
      </c>
      <c r="B121" t="s">
        <v>955</v>
      </c>
      <c r="C121">
        <v>2017</v>
      </c>
      <c r="F121" t="s">
        <v>602</v>
      </c>
      <c r="H121">
        <v>141</v>
      </c>
      <c r="I121">
        <v>2</v>
      </c>
      <c r="J121" t="s">
        <v>956</v>
      </c>
      <c r="K121" t="s">
        <v>957</v>
      </c>
      <c r="L121" t="s">
        <v>958</v>
      </c>
      <c r="Q121" t="s">
        <v>959</v>
      </c>
      <c r="R121" t="s">
        <v>960</v>
      </c>
      <c r="S121" t="s">
        <v>961</v>
      </c>
    </row>
    <row r="122" spans="1:19" x14ac:dyDescent="0.25">
      <c r="A122" t="s">
        <v>962</v>
      </c>
      <c r="B122" t="s">
        <v>963</v>
      </c>
      <c r="C122">
        <v>2020</v>
      </c>
      <c r="F122" t="s">
        <v>633</v>
      </c>
      <c r="H122">
        <v>47</v>
      </c>
      <c r="I122">
        <v>3</v>
      </c>
      <c r="J122" t="s">
        <v>964</v>
      </c>
      <c r="K122" t="s">
        <v>965</v>
      </c>
      <c r="L122" t="s">
        <v>966</v>
      </c>
      <c r="Q122" t="s">
        <v>967</v>
      </c>
      <c r="R122" t="s">
        <v>968</v>
      </c>
      <c r="S122" t="s">
        <v>969</v>
      </c>
    </row>
    <row r="123" spans="1:19" x14ac:dyDescent="0.25">
      <c r="A123" t="s">
        <v>970</v>
      </c>
      <c r="B123" t="s">
        <v>971</v>
      </c>
      <c r="C123">
        <v>2020</v>
      </c>
      <c r="F123" t="s">
        <v>124</v>
      </c>
      <c r="H123">
        <v>9</v>
      </c>
      <c r="I123">
        <v>12</v>
      </c>
      <c r="K123" t="s">
        <v>972</v>
      </c>
      <c r="L123" t="s">
        <v>973</v>
      </c>
      <c r="Q123" t="s">
        <v>974</v>
      </c>
      <c r="R123" t="s">
        <v>975</v>
      </c>
      <c r="S123" t="s">
        <v>30</v>
      </c>
    </row>
    <row r="124" spans="1:19" x14ac:dyDescent="0.25">
      <c r="A124" t="s">
        <v>976</v>
      </c>
      <c r="B124" t="s">
        <v>977</v>
      </c>
      <c r="C124">
        <v>2019</v>
      </c>
      <c r="F124" t="s">
        <v>678</v>
      </c>
      <c r="G124" t="s">
        <v>679</v>
      </c>
      <c r="H124">
        <v>103</v>
      </c>
      <c r="J124" t="s">
        <v>978</v>
      </c>
      <c r="K124" t="s">
        <v>979</v>
      </c>
      <c r="L124" t="s">
        <v>980</v>
      </c>
      <c r="Q124" t="s">
        <v>981</v>
      </c>
      <c r="R124" t="s">
        <v>982</v>
      </c>
      <c r="S124" t="s">
        <v>30</v>
      </c>
    </row>
    <row r="125" spans="1:19" x14ac:dyDescent="0.25">
      <c r="A125" t="s">
        <v>983</v>
      </c>
      <c r="B125" t="s">
        <v>984</v>
      </c>
      <c r="C125">
        <v>2021</v>
      </c>
      <c r="F125" t="s">
        <v>315</v>
      </c>
      <c r="H125">
        <v>123</v>
      </c>
      <c r="J125" t="s">
        <v>985</v>
      </c>
      <c r="K125" t="s">
        <v>986</v>
      </c>
      <c r="L125" t="s">
        <v>987</v>
      </c>
      <c r="Q125" t="s">
        <v>988</v>
      </c>
      <c r="S125" t="s">
        <v>30</v>
      </c>
    </row>
    <row r="126" spans="1:19" x14ac:dyDescent="0.25">
      <c r="A126" t="s">
        <v>989</v>
      </c>
      <c r="B126" t="s">
        <v>990</v>
      </c>
      <c r="C126">
        <v>2018</v>
      </c>
      <c r="F126" t="s">
        <v>207</v>
      </c>
      <c r="H126">
        <v>13</v>
      </c>
      <c r="I126">
        <v>9</v>
      </c>
      <c r="J126" t="s">
        <v>991</v>
      </c>
      <c r="K126" t="s">
        <v>992</v>
      </c>
      <c r="L126" t="s">
        <v>993</v>
      </c>
      <c r="O126" t="s">
        <v>994</v>
      </c>
      <c r="Q126" t="s">
        <v>995</v>
      </c>
      <c r="S126" t="s">
        <v>30</v>
      </c>
    </row>
    <row r="127" spans="1:19" x14ac:dyDescent="0.25">
      <c r="A127" t="s">
        <v>996</v>
      </c>
      <c r="B127" t="s">
        <v>997</v>
      </c>
      <c r="C127">
        <v>2017</v>
      </c>
      <c r="F127" t="s">
        <v>998</v>
      </c>
      <c r="G127" t="s">
        <v>999</v>
      </c>
      <c r="H127">
        <v>27</v>
      </c>
      <c r="I127">
        <v>3</v>
      </c>
      <c r="J127" t="s">
        <v>1000</v>
      </c>
      <c r="K127" t="s">
        <v>1001</v>
      </c>
      <c r="L127" t="s">
        <v>1002</v>
      </c>
      <c r="Q127" t="s">
        <v>1003</v>
      </c>
      <c r="R127" t="s">
        <v>1004</v>
      </c>
      <c r="S127" t="s">
        <v>30</v>
      </c>
    </row>
    <row r="128" spans="1:19" x14ac:dyDescent="0.25">
      <c r="A128" t="s">
        <v>1005</v>
      </c>
      <c r="B128" t="s">
        <v>1006</v>
      </c>
      <c r="C128">
        <v>2017</v>
      </c>
      <c r="F128" t="s">
        <v>1007</v>
      </c>
      <c r="H128">
        <v>10</v>
      </c>
      <c r="I128">
        <v>2</v>
      </c>
      <c r="J128" s="2">
        <v>17411</v>
      </c>
      <c r="K128" t="s">
        <v>1008</v>
      </c>
      <c r="L128" t="s">
        <v>1009</v>
      </c>
      <c r="Q128" t="s">
        <v>1010</v>
      </c>
      <c r="R128" t="s">
        <v>1011</v>
      </c>
      <c r="S128" t="s">
        <v>1012</v>
      </c>
    </row>
    <row r="129" spans="1:19" x14ac:dyDescent="0.25">
      <c r="A129" t="s">
        <v>1013</v>
      </c>
      <c r="B129" t="s">
        <v>1014</v>
      </c>
      <c r="C129">
        <v>2017</v>
      </c>
      <c r="F129" t="s">
        <v>475</v>
      </c>
      <c r="G129" t="s">
        <v>476</v>
      </c>
      <c r="H129">
        <v>67</v>
      </c>
      <c r="J129" t="s">
        <v>1015</v>
      </c>
      <c r="K129" t="s">
        <v>1016</v>
      </c>
      <c r="L129" t="s">
        <v>1017</v>
      </c>
      <c r="Q129" t="s">
        <v>1018</v>
      </c>
      <c r="R129" t="s">
        <v>1019</v>
      </c>
      <c r="S129" t="s">
        <v>30</v>
      </c>
    </row>
    <row r="130" spans="1:19" x14ac:dyDescent="0.25">
      <c r="A130" t="s">
        <v>1020</v>
      </c>
      <c r="B130" t="s">
        <v>1021</v>
      </c>
      <c r="C130">
        <v>2017</v>
      </c>
      <c r="F130" t="s">
        <v>1022</v>
      </c>
      <c r="G130" t="s">
        <v>1023</v>
      </c>
      <c r="H130">
        <v>26</v>
      </c>
      <c r="I130">
        <v>5</v>
      </c>
      <c r="J130" t="s">
        <v>1024</v>
      </c>
      <c r="K130" t="s">
        <v>1025</v>
      </c>
      <c r="L130" t="s">
        <v>1026</v>
      </c>
      <c r="Q130" t="s">
        <v>1027</v>
      </c>
      <c r="R130" t="s">
        <v>1028</v>
      </c>
      <c r="S130" t="s">
        <v>30</v>
      </c>
    </row>
    <row r="131" spans="1:19" x14ac:dyDescent="0.25">
      <c r="A131" t="s">
        <v>1029</v>
      </c>
      <c r="B131" t="s">
        <v>1030</v>
      </c>
      <c r="C131">
        <v>2018</v>
      </c>
      <c r="F131" t="s">
        <v>1031</v>
      </c>
      <c r="H131">
        <v>127</v>
      </c>
      <c r="J131" t="s">
        <v>1032</v>
      </c>
      <c r="K131" t="s">
        <v>1033</v>
      </c>
      <c r="L131" t="s">
        <v>1034</v>
      </c>
      <c r="O131" t="s">
        <v>1035</v>
      </c>
      <c r="Q131" t="s">
        <v>1036</v>
      </c>
      <c r="S131" t="s">
        <v>30</v>
      </c>
    </row>
    <row r="132" spans="1:19" x14ac:dyDescent="0.25">
      <c r="A132" t="s">
        <v>1037</v>
      </c>
      <c r="B132" t="s">
        <v>1038</v>
      </c>
      <c r="C132">
        <v>2016</v>
      </c>
      <c r="F132" t="s">
        <v>1039</v>
      </c>
      <c r="G132" t="s">
        <v>1040</v>
      </c>
      <c r="H132">
        <v>19</v>
      </c>
      <c r="J132" t="s">
        <v>1041</v>
      </c>
      <c r="K132" t="s">
        <v>1042</v>
      </c>
      <c r="L132" t="s">
        <v>1043</v>
      </c>
      <c r="Q132" t="s">
        <v>1044</v>
      </c>
      <c r="R132" t="s">
        <v>1045</v>
      </c>
      <c r="S132" t="s">
        <v>30</v>
      </c>
    </row>
    <row r="133" spans="1:19" x14ac:dyDescent="0.25">
      <c r="A133" t="s">
        <v>1046</v>
      </c>
      <c r="B133" t="s">
        <v>1047</v>
      </c>
      <c r="C133">
        <v>2019</v>
      </c>
      <c r="F133" t="s">
        <v>1048</v>
      </c>
      <c r="H133">
        <v>62</v>
      </c>
      <c r="I133">
        <v>12</v>
      </c>
      <c r="J133" t="s">
        <v>1049</v>
      </c>
      <c r="K133" t="s">
        <v>1050</v>
      </c>
      <c r="L133" t="s">
        <v>1051</v>
      </c>
      <c r="Q133" t="s">
        <v>1052</v>
      </c>
      <c r="R133" t="s">
        <v>1053</v>
      </c>
      <c r="S133" t="s">
        <v>1054</v>
      </c>
    </row>
    <row r="134" spans="1:19" x14ac:dyDescent="0.25">
      <c r="A134" t="s">
        <v>1055</v>
      </c>
      <c r="B134" t="s">
        <v>1056</v>
      </c>
      <c r="C134">
        <v>2017</v>
      </c>
      <c r="F134" t="s">
        <v>1057</v>
      </c>
      <c r="H134">
        <v>25</v>
      </c>
      <c r="J134" t="s">
        <v>1058</v>
      </c>
      <c r="K134" t="s">
        <v>1059</v>
      </c>
      <c r="L134" t="s">
        <v>1060</v>
      </c>
      <c r="Q134" t="s">
        <v>1061</v>
      </c>
      <c r="R134" t="s">
        <v>1062</v>
      </c>
      <c r="S134" t="s">
        <v>1063</v>
      </c>
    </row>
    <row r="135" spans="1:19" x14ac:dyDescent="0.25">
      <c r="A135" t="s">
        <v>1064</v>
      </c>
      <c r="B135" t="s">
        <v>1065</v>
      </c>
      <c r="C135">
        <v>2012</v>
      </c>
      <c r="F135" t="s">
        <v>1066</v>
      </c>
      <c r="H135">
        <v>46</v>
      </c>
      <c r="I135">
        <v>7</v>
      </c>
      <c r="J135" t="s">
        <v>1067</v>
      </c>
      <c r="K135" t="s">
        <v>1068</v>
      </c>
      <c r="L135" t="s">
        <v>1069</v>
      </c>
      <c r="O135" t="s">
        <v>1070</v>
      </c>
      <c r="Q135" t="s">
        <v>1071</v>
      </c>
      <c r="S135" t="s">
        <v>30</v>
      </c>
    </row>
    <row r="136" spans="1:19" x14ac:dyDescent="0.25">
      <c r="A136" t="s">
        <v>1072</v>
      </c>
      <c r="B136" t="s">
        <v>1073</v>
      </c>
      <c r="C136">
        <v>2021</v>
      </c>
      <c r="F136" t="s">
        <v>1074</v>
      </c>
      <c r="G136" t="s">
        <v>1075</v>
      </c>
      <c r="H136">
        <v>21</v>
      </c>
      <c r="I136">
        <v>2</v>
      </c>
      <c r="J136" t="s">
        <v>1076</v>
      </c>
      <c r="K136" t="s">
        <v>1077</v>
      </c>
      <c r="L136" t="s">
        <v>1078</v>
      </c>
      <c r="Q136" t="s">
        <v>1079</v>
      </c>
      <c r="R136" t="s">
        <v>1080</v>
      </c>
      <c r="S136" t="s">
        <v>30</v>
      </c>
    </row>
    <row r="137" spans="1:19" x14ac:dyDescent="0.25">
      <c r="A137" t="s">
        <v>1081</v>
      </c>
      <c r="B137" t="s">
        <v>1082</v>
      </c>
      <c r="C137">
        <v>2013</v>
      </c>
      <c r="G137" t="s">
        <v>1083</v>
      </c>
      <c r="J137">
        <v>280</v>
      </c>
      <c r="K137" t="s">
        <v>1084</v>
      </c>
      <c r="L137" t="s">
        <v>1085</v>
      </c>
      <c r="O137" t="s">
        <v>1086</v>
      </c>
      <c r="Q137" t="s">
        <v>1087</v>
      </c>
      <c r="S137" t="s">
        <v>1088</v>
      </c>
    </row>
    <row r="138" spans="1:19" x14ac:dyDescent="0.25">
      <c r="A138" t="s">
        <v>1089</v>
      </c>
      <c r="B138" t="s">
        <v>1090</v>
      </c>
      <c r="C138">
        <v>2017</v>
      </c>
      <c r="F138" t="s">
        <v>1091</v>
      </c>
      <c r="G138" t="s">
        <v>1092</v>
      </c>
      <c r="H138">
        <v>3</v>
      </c>
      <c r="K138" t="s">
        <v>1093</v>
      </c>
      <c r="L138" t="s">
        <v>1094</v>
      </c>
      <c r="Q138" t="s">
        <v>1095</v>
      </c>
      <c r="R138" t="s">
        <v>1096</v>
      </c>
      <c r="S138" t="s">
        <v>30</v>
      </c>
    </row>
    <row r="139" spans="1:19" x14ac:dyDescent="0.25">
      <c r="A139" t="s">
        <v>1097</v>
      </c>
      <c r="B139" t="s">
        <v>1098</v>
      </c>
      <c r="C139">
        <v>2012</v>
      </c>
      <c r="D139">
        <v>5</v>
      </c>
      <c r="E139">
        <v>1</v>
      </c>
      <c r="F139" t="s">
        <v>1099</v>
      </c>
      <c r="H139">
        <v>21</v>
      </c>
      <c r="I139">
        <v>4</v>
      </c>
      <c r="J139" t="s">
        <v>1100</v>
      </c>
      <c r="K139" t="s">
        <v>1101</v>
      </c>
      <c r="L139" t="s">
        <v>1102</v>
      </c>
      <c r="N139" t="s">
        <v>1103</v>
      </c>
      <c r="Q139" t="s">
        <v>661</v>
      </c>
      <c r="R139" t="s">
        <v>1104</v>
      </c>
      <c r="S139" t="s">
        <v>1105</v>
      </c>
    </row>
    <row r="140" spans="1:19" x14ac:dyDescent="0.25">
      <c r="A140" t="s">
        <v>1106</v>
      </c>
      <c r="B140" t="s">
        <v>1107</v>
      </c>
      <c r="C140">
        <v>2016</v>
      </c>
      <c r="F140" t="s">
        <v>1108</v>
      </c>
      <c r="G140" t="s">
        <v>1109</v>
      </c>
      <c r="H140">
        <v>43</v>
      </c>
      <c r="I140">
        <v>2</v>
      </c>
      <c r="J140" t="s">
        <v>1110</v>
      </c>
      <c r="K140" t="s">
        <v>1111</v>
      </c>
      <c r="L140" t="s">
        <v>1112</v>
      </c>
      <c r="Q140" t="s">
        <v>1113</v>
      </c>
      <c r="R140" t="s">
        <v>1114</v>
      </c>
      <c r="S140" t="s">
        <v>30</v>
      </c>
    </row>
    <row r="141" spans="1:19" x14ac:dyDescent="0.25">
      <c r="A141" t="s">
        <v>1115</v>
      </c>
      <c r="B141" t="s">
        <v>1116</v>
      </c>
      <c r="C141">
        <v>2019</v>
      </c>
      <c r="F141" t="s">
        <v>795</v>
      </c>
      <c r="G141" t="s">
        <v>1117</v>
      </c>
      <c r="H141">
        <v>10</v>
      </c>
      <c r="I141">
        <v>4</v>
      </c>
      <c r="K141" t="s">
        <v>1118</v>
      </c>
      <c r="L141" t="s">
        <v>1119</v>
      </c>
      <c r="Q141" t="s">
        <v>1120</v>
      </c>
      <c r="R141" t="s">
        <v>1121</v>
      </c>
      <c r="S141" t="s">
        <v>30</v>
      </c>
    </row>
    <row r="142" spans="1:19" x14ac:dyDescent="0.25">
      <c r="A142" t="s">
        <v>1122</v>
      </c>
      <c r="B142" t="s">
        <v>1123</v>
      </c>
      <c r="C142">
        <v>2018</v>
      </c>
      <c r="F142" t="s">
        <v>795</v>
      </c>
      <c r="G142" t="s">
        <v>1117</v>
      </c>
      <c r="H142">
        <v>9</v>
      </c>
      <c r="I142">
        <v>3</v>
      </c>
      <c r="K142" t="s">
        <v>1124</v>
      </c>
      <c r="L142" t="s">
        <v>1125</v>
      </c>
      <c r="Q142" t="s">
        <v>1126</v>
      </c>
      <c r="R142" t="s">
        <v>1127</v>
      </c>
      <c r="S142" t="s">
        <v>30</v>
      </c>
    </row>
    <row r="143" spans="1:19" x14ac:dyDescent="0.25">
      <c r="A143" t="s">
        <v>1128</v>
      </c>
      <c r="B143" t="s">
        <v>1129</v>
      </c>
      <c r="C143">
        <v>2021</v>
      </c>
      <c r="F143" t="s">
        <v>1130</v>
      </c>
      <c r="H143">
        <v>85</v>
      </c>
      <c r="I143">
        <v>8</v>
      </c>
      <c r="J143" t="s">
        <v>1131</v>
      </c>
      <c r="K143" t="s">
        <v>1132</v>
      </c>
      <c r="L143" t="s">
        <v>1133</v>
      </c>
      <c r="Q143" t="s">
        <v>1134</v>
      </c>
      <c r="R143" t="s">
        <v>1135</v>
      </c>
      <c r="S143" t="s">
        <v>1136</v>
      </c>
    </row>
    <row r="144" spans="1:19" x14ac:dyDescent="0.25">
      <c r="A144" t="s">
        <v>1137</v>
      </c>
      <c r="B144" t="s">
        <v>1138</v>
      </c>
      <c r="C144">
        <v>2019</v>
      </c>
      <c r="F144" t="s">
        <v>1139</v>
      </c>
      <c r="H144">
        <v>160</v>
      </c>
      <c r="J144" t="s">
        <v>1140</v>
      </c>
      <c r="K144" t="s">
        <v>1141</v>
      </c>
      <c r="L144" t="s">
        <v>1142</v>
      </c>
      <c r="Q144" t="s">
        <v>1143</v>
      </c>
      <c r="R144" t="s">
        <v>1144</v>
      </c>
      <c r="S144" t="s">
        <v>1145</v>
      </c>
    </row>
    <row r="145" spans="1:19" x14ac:dyDescent="0.25">
      <c r="A145" t="s">
        <v>1146</v>
      </c>
      <c r="C145">
        <v>2003</v>
      </c>
      <c r="F145" t="s">
        <v>1147</v>
      </c>
      <c r="K145" t="s">
        <v>1148</v>
      </c>
      <c r="N145" t="s">
        <v>1149</v>
      </c>
      <c r="Q145" t="s">
        <v>1150</v>
      </c>
      <c r="S145" t="s">
        <v>1151</v>
      </c>
    </row>
    <row r="146" spans="1:19" x14ac:dyDescent="0.25">
      <c r="A146" t="s">
        <v>1152</v>
      </c>
      <c r="B146" t="s">
        <v>1153</v>
      </c>
      <c r="C146">
        <v>2012</v>
      </c>
      <c r="D146">
        <v>4</v>
      </c>
      <c r="H146">
        <v>22</v>
      </c>
      <c r="I146">
        <v>2</v>
      </c>
      <c r="J146" t="s">
        <v>1154</v>
      </c>
      <c r="K146" t="s">
        <v>1155</v>
      </c>
      <c r="Q146" t="s">
        <v>1156</v>
      </c>
      <c r="S146" t="s">
        <v>1151</v>
      </c>
    </row>
    <row r="147" spans="1:19" x14ac:dyDescent="0.25">
      <c r="A147" t="s">
        <v>1157</v>
      </c>
      <c r="B147" t="s">
        <v>1158</v>
      </c>
      <c r="C147">
        <v>2011</v>
      </c>
      <c r="D147">
        <v>8</v>
      </c>
      <c r="H147">
        <v>92</v>
      </c>
      <c r="I147">
        <v>8</v>
      </c>
      <c r="J147" t="s">
        <v>1159</v>
      </c>
      <c r="K147" t="s">
        <v>1160</v>
      </c>
      <c r="Q147" t="s">
        <v>1161</v>
      </c>
      <c r="S147" t="s">
        <v>1151</v>
      </c>
    </row>
    <row r="148" spans="1:19" x14ac:dyDescent="0.25">
      <c r="A148" t="s">
        <v>1162</v>
      </c>
      <c r="B148" t="s">
        <v>1163</v>
      </c>
      <c r="C148">
        <v>2020</v>
      </c>
      <c r="F148" t="s">
        <v>131</v>
      </c>
      <c r="H148">
        <v>241</v>
      </c>
      <c r="K148" t="s">
        <v>1164</v>
      </c>
      <c r="L148" t="s">
        <v>1165</v>
      </c>
      <c r="Q148" t="s">
        <v>1166</v>
      </c>
      <c r="R148" t="s">
        <v>1167</v>
      </c>
      <c r="S148" t="s">
        <v>1168</v>
      </c>
    </row>
    <row r="149" spans="1:19" x14ac:dyDescent="0.25">
      <c r="A149" t="s">
        <v>1169</v>
      </c>
      <c r="B149" t="s">
        <v>1170</v>
      </c>
      <c r="C149">
        <v>2021</v>
      </c>
      <c r="F149" t="s">
        <v>1171</v>
      </c>
      <c r="H149">
        <v>78</v>
      </c>
      <c r="I149">
        <v>8</v>
      </c>
      <c r="J149" t="s">
        <v>1172</v>
      </c>
      <c r="K149" t="s">
        <v>1173</v>
      </c>
      <c r="L149" t="s">
        <v>1174</v>
      </c>
      <c r="Q149" t="s">
        <v>1175</v>
      </c>
      <c r="R149" t="s">
        <v>1176</v>
      </c>
      <c r="S149" t="s">
        <v>1177</v>
      </c>
    </row>
    <row r="150" spans="1:19" x14ac:dyDescent="0.25">
      <c r="A150" t="s">
        <v>1178</v>
      </c>
      <c r="B150" t="s">
        <v>1179</v>
      </c>
      <c r="C150">
        <v>2024</v>
      </c>
      <c r="F150" t="s">
        <v>1180</v>
      </c>
      <c r="K150" t="s">
        <v>1181</v>
      </c>
      <c r="L150" t="s">
        <v>1182</v>
      </c>
      <c r="Q150" t="s">
        <v>1183</v>
      </c>
      <c r="R150" t="s">
        <v>1184</v>
      </c>
      <c r="S150" t="s">
        <v>1185</v>
      </c>
    </row>
    <row r="151" spans="1:19" x14ac:dyDescent="0.25">
      <c r="A151" t="s">
        <v>1186</v>
      </c>
      <c r="B151" t="s">
        <v>1187</v>
      </c>
      <c r="C151">
        <v>2015</v>
      </c>
      <c r="F151" t="s">
        <v>1188</v>
      </c>
      <c r="H151">
        <v>103</v>
      </c>
      <c r="J151" t="s">
        <v>1189</v>
      </c>
      <c r="K151" t="s">
        <v>1190</v>
      </c>
      <c r="L151" t="s">
        <v>1191</v>
      </c>
      <c r="Q151" t="s">
        <v>1192</v>
      </c>
      <c r="R151" t="s">
        <v>1193</v>
      </c>
      <c r="S151" t="s">
        <v>1194</v>
      </c>
    </row>
    <row r="152" spans="1:19" x14ac:dyDescent="0.25">
      <c r="A152" t="s">
        <v>1195</v>
      </c>
      <c r="B152" t="s">
        <v>1196</v>
      </c>
      <c r="C152">
        <v>2021</v>
      </c>
      <c r="F152" t="s">
        <v>1197</v>
      </c>
      <c r="H152">
        <v>46</v>
      </c>
      <c r="I152">
        <v>2</v>
      </c>
      <c r="J152" t="s">
        <v>1198</v>
      </c>
      <c r="K152" t="s">
        <v>1199</v>
      </c>
      <c r="L152" t="s">
        <v>1200</v>
      </c>
      <c r="Q152" t="s">
        <v>1201</v>
      </c>
      <c r="R152" t="s">
        <v>1202</v>
      </c>
    </row>
    <row r="153" spans="1:19" x14ac:dyDescent="0.25">
      <c r="A153" t="s">
        <v>1203</v>
      </c>
      <c r="B153" t="s">
        <v>1204</v>
      </c>
      <c r="C153">
        <v>2009</v>
      </c>
      <c r="F153" t="s">
        <v>1205</v>
      </c>
      <c r="H153">
        <v>34</v>
      </c>
      <c r="I153">
        <v>1</v>
      </c>
      <c r="J153" s="1">
        <v>46266</v>
      </c>
      <c r="K153" t="s">
        <v>1206</v>
      </c>
      <c r="L153" t="s">
        <v>1207</v>
      </c>
      <c r="Q153" t="s">
        <v>1208</v>
      </c>
      <c r="R153" t="s">
        <v>1209</v>
      </c>
      <c r="S153" t="s">
        <v>1210</v>
      </c>
    </row>
    <row r="154" spans="1:19" x14ac:dyDescent="0.25">
      <c r="A154" t="s">
        <v>1211</v>
      </c>
      <c r="B154" t="s">
        <v>1212</v>
      </c>
      <c r="C154">
        <v>2016</v>
      </c>
      <c r="F154" t="s">
        <v>1213</v>
      </c>
      <c r="H154">
        <v>14</v>
      </c>
      <c r="I154">
        <v>12</v>
      </c>
      <c r="K154" t="s">
        <v>1214</v>
      </c>
      <c r="L154" t="s">
        <v>1215</v>
      </c>
      <c r="Q154" t="s">
        <v>1216</v>
      </c>
      <c r="R154" t="s">
        <v>1217</v>
      </c>
      <c r="S154" t="s">
        <v>1218</v>
      </c>
    </row>
    <row r="155" spans="1:19" x14ac:dyDescent="0.25">
      <c r="A155" t="s">
        <v>1219</v>
      </c>
      <c r="B155" t="s">
        <v>1220</v>
      </c>
      <c r="C155">
        <v>2014</v>
      </c>
      <c r="F155" t="s">
        <v>1221</v>
      </c>
      <c r="J155" t="s">
        <v>1222</v>
      </c>
      <c r="K155" t="s">
        <v>1223</v>
      </c>
      <c r="L155" t="s">
        <v>1224</v>
      </c>
      <c r="Q155" t="s">
        <v>1225</v>
      </c>
    </row>
    <row r="156" spans="1:19" x14ac:dyDescent="0.25">
      <c r="A156" t="s">
        <v>1226</v>
      </c>
      <c r="B156" t="s">
        <v>1227</v>
      </c>
      <c r="C156">
        <v>2011</v>
      </c>
      <c r="F156" t="s">
        <v>1228</v>
      </c>
      <c r="H156">
        <v>10</v>
      </c>
      <c r="I156">
        <v>1</v>
      </c>
      <c r="K156" t="s">
        <v>1229</v>
      </c>
      <c r="L156" t="s">
        <v>1230</v>
      </c>
      <c r="Q156" t="s">
        <v>1231</v>
      </c>
      <c r="R156" t="s">
        <v>1232</v>
      </c>
    </row>
    <row r="157" spans="1:19" x14ac:dyDescent="0.25">
      <c r="A157" t="s">
        <v>1233</v>
      </c>
      <c r="B157" t="s">
        <v>1234</v>
      </c>
      <c r="C157">
        <v>2014</v>
      </c>
      <c r="F157" t="s">
        <v>1235</v>
      </c>
      <c r="H157">
        <v>52</v>
      </c>
      <c r="I157">
        <v>2</v>
      </c>
      <c r="J157" t="s">
        <v>1236</v>
      </c>
      <c r="K157" t="s">
        <v>1237</v>
      </c>
      <c r="L157" t="s">
        <v>1238</v>
      </c>
      <c r="Q157" t="s">
        <v>1239</v>
      </c>
      <c r="R157" t="s">
        <v>1240</v>
      </c>
      <c r="S157" t="s">
        <v>1241</v>
      </c>
    </row>
    <row r="158" spans="1:19" x14ac:dyDescent="0.25">
      <c r="A158" t="s">
        <v>1242</v>
      </c>
      <c r="B158" t="s">
        <v>1243</v>
      </c>
      <c r="C158">
        <v>2006</v>
      </c>
      <c r="F158" t="s">
        <v>1244</v>
      </c>
      <c r="H158">
        <v>15</v>
      </c>
      <c r="I158">
        <v>1</v>
      </c>
      <c r="J158" t="s">
        <v>1245</v>
      </c>
      <c r="K158" t="s">
        <v>1246</v>
      </c>
      <c r="L158" t="s">
        <v>1247</v>
      </c>
      <c r="Q158" t="s">
        <v>1248</v>
      </c>
      <c r="S158" t="s">
        <v>1249</v>
      </c>
    </row>
    <row r="159" spans="1:19" x14ac:dyDescent="0.25">
      <c r="A159" t="s">
        <v>1250</v>
      </c>
      <c r="B159" t="s">
        <v>1251</v>
      </c>
      <c r="C159">
        <v>2023</v>
      </c>
      <c r="F159" t="s">
        <v>315</v>
      </c>
      <c r="H159">
        <v>141</v>
      </c>
      <c r="J159" t="s">
        <v>1252</v>
      </c>
      <c r="K159" t="s">
        <v>1253</v>
      </c>
      <c r="L159" t="s">
        <v>1254</v>
      </c>
      <c r="Q159" t="s">
        <v>1255</v>
      </c>
      <c r="R159" t="s">
        <v>1256</v>
      </c>
      <c r="S159" t="s">
        <v>1257</v>
      </c>
    </row>
    <row r="160" spans="1:19" x14ac:dyDescent="0.25">
      <c r="A160" t="s">
        <v>1258</v>
      </c>
      <c r="B160" t="s">
        <v>1259</v>
      </c>
      <c r="C160">
        <v>2021</v>
      </c>
      <c r="F160" t="s">
        <v>1260</v>
      </c>
      <c r="H160">
        <v>3</v>
      </c>
      <c r="I160">
        <v>3</v>
      </c>
      <c r="J160" t="s">
        <v>1261</v>
      </c>
      <c r="K160" t="s">
        <v>1262</v>
      </c>
      <c r="L160" t="s">
        <v>1263</v>
      </c>
      <c r="Q160" t="s">
        <v>1264</v>
      </c>
      <c r="R160" t="s">
        <v>1265</v>
      </c>
      <c r="S160" t="s">
        <v>1266</v>
      </c>
    </row>
    <row r="161" spans="1:19" x14ac:dyDescent="0.25">
      <c r="A161" t="s">
        <v>1267</v>
      </c>
      <c r="B161" t="s">
        <v>1268</v>
      </c>
      <c r="C161">
        <v>2016</v>
      </c>
      <c r="F161" t="s">
        <v>315</v>
      </c>
      <c r="H161">
        <v>66</v>
      </c>
      <c r="J161" t="s">
        <v>1269</v>
      </c>
      <c r="K161" t="s">
        <v>1270</v>
      </c>
      <c r="L161" t="s">
        <v>1271</v>
      </c>
      <c r="Q161" t="s">
        <v>1272</v>
      </c>
      <c r="R161" t="s">
        <v>1273</v>
      </c>
      <c r="S161" t="s">
        <v>1274</v>
      </c>
    </row>
    <row r="162" spans="1:19" x14ac:dyDescent="0.25">
      <c r="A162" t="s">
        <v>1275</v>
      </c>
      <c r="B162" t="s">
        <v>1276</v>
      </c>
      <c r="C162">
        <v>2014</v>
      </c>
      <c r="F162" t="s">
        <v>395</v>
      </c>
      <c r="H162">
        <v>146</v>
      </c>
      <c r="J162" t="s">
        <v>1277</v>
      </c>
      <c r="K162" t="s">
        <v>1278</v>
      </c>
      <c r="L162" t="s">
        <v>1279</v>
      </c>
      <c r="Q162" t="s">
        <v>1280</v>
      </c>
      <c r="R162" t="s">
        <v>1281</v>
      </c>
      <c r="S162" t="s">
        <v>1282</v>
      </c>
    </row>
    <row r="163" spans="1:19" x14ac:dyDescent="0.25">
      <c r="A163" t="s">
        <v>1283</v>
      </c>
      <c r="B163" t="s">
        <v>1284</v>
      </c>
      <c r="C163">
        <v>2012</v>
      </c>
      <c r="F163" t="s">
        <v>1228</v>
      </c>
      <c r="H163">
        <v>11</v>
      </c>
      <c r="I163">
        <v>3</v>
      </c>
      <c r="J163" t="s">
        <v>1285</v>
      </c>
      <c r="K163" t="s">
        <v>1286</v>
      </c>
      <c r="L163" t="s">
        <v>1287</v>
      </c>
      <c r="Q163" t="s">
        <v>1288</v>
      </c>
      <c r="R163" t="s">
        <v>1289</v>
      </c>
    </row>
    <row r="164" spans="1:19" x14ac:dyDescent="0.25">
      <c r="A164" t="s">
        <v>1290</v>
      </c>
      <c r="B164" t="s">
        <v>1291</v>
      </c>
      <c r="C164">
        <v>2015</v>
      </c>
      <c r="F164" t="s">
        <v>1292</v>
      </c>
      <c r="H164">
        <v>7</v>
      </c>
      <c r="I164">
        <v>12</v>
      </c>
      <c r="J164" t="s">
        <v>1293</v>
      </c>
      <c r="K164" t="s">
        <v>1294</v>
      </c>
      <c r="L164" t="s">
        <v>1295</v>
      </c>
      <c r="Q164" t="s">
        <v>1296</v>
      </c>
      <c r="R164" t="s">
        <v>1297</v>
      </c>
      <c r="S164" t="s">
        <v>1298</v>
      </c>
    </row>
    <row r="165" spans="1:19" x14ac:dyDescent="0.25">
      <c r="A165" t="s">
        <v>1299</v>
      </c>
      <c r="B165" t="s">
        <v>1300</v>
      </c>
      <c r="C165">
        <v>2019</v>
      </c>
      <c r="F165" t="s">
        <v>733</v>
      </c>
      <c r="H165">
        <v>47</v>
      </c>
      <c r="I165">
        <v>3</v>
      </c>
      <c r="J165" t="s">
        <v>1301</v>
      </c>
      <c r="K165" t="s">
        <v>1302</v>
      </c>
      <c r="L165" t="s">
        <v>1303</v>
      </c>
      <c r="Q165" t="s">
        <v>1304</v>
      </c>
      <c r="R165" t="s">
        <v>1305</v>
      </c>
      <c r="S165" t="s">
        <v>1306</v>
      </c>
    </row>
    <row r="166" spans="1:19" x14ac:dyDescent="0.25">
      <c r="A166" t="s">
        <v>1307</v>
      </c>
      <c r="B166" t="s">
        <v>1308</v>
      </c>
      <c r="C166">
        <v>2019</v>
      </c>
      <c r="F166" t="s">
        <v>1309</v>
      </c>
      <c r="H166">
        <v>76</v>
      </c>
      <c r="I166">
        <v>3</v>
      </c>
      <c r="J166" t="s">
        <v>1310</v>
      </c>
      <c r="K166" t="s">
        <v>1311</v>
      </c>
      <c r="L166" t="s">
        <v>1312</v>
      </c>
      <c r="Q166" t="s">
        <v>1313</v>
      </c>
      <c r="R166" t="s">
        <v>1314</v>
      </c>
      <c r="S166" t="s">
        <v>1315</v>
      </c>
    </row>
    <row r="167" spans="1:19" x14ac:dyDescent="0.25">
      <c r="A167" t="s">
        <v>1316</v>
      </c>
      <c r="B167" t="s">
        <v>1317</v>
      </c>
      <c r="C167">
        <v>2016</v>
      </c>
      <c r="F167" t="s">
        <v>395</v>
      </c>
      <c r="H167">
        <v>184</v>
      </c>
      <c r="J167" t="s">
        <v>1318</v>
      </c>
      <c r="K167" t="s">
        <v>1319</v>
      </c>
      <c r="L167" t="s">
        <v>1320</v>
      </c>
      <c r="Q167" t="s">
        <v>1321</v>
      </c>
      <c r="R167" t="s">
        <v>1322</v>
      </c>
      <c r="S167" t="s">
        <v>1323</v>
      </c>
    </row>
    <row r="168" spans="1:19" x14ac:dyDescent="0.25">
      <c r="A168" t="s">
        <v>1324</v>
      </c>
      <c r="B168" t="s">
        <v>1325</v>
      </c>
      <c r="C168">
        <v>2010</v>
      </c>
      <c r="F168" t="s">
        <v>1326</v>
      </c>
      <c r="H168">
        <v>13</v>
      </c>
      <c r="I168">
        <v>7</v>
      </c>
      <c r="J168" t="s">
        <v>1327</v>
      </c>
      <c r="K168" t="s">
        <v>1328</v>
      </c>
      <c r="L168" t="s">
        <v>1329</v>
      </c>
      <c r="Q168" t="s">
        <v>1330</v>
      </c>
      <c r="R168" t="s">
        <v>1331</v>
      </c>
      <c r="S168" t="s">
        <v>1332</v>
      </c>
    </row>
    <row r="169" spans="1:19" x14ac:dyDescent="0.25">
      <c r="A169" t="s">
        <v>1333</v>
      </c>
      <c r="B169" t="s">
        <v>1334</v>
      </c>
      <c r="C169">
        <v>2018</v>
      </c>
      <c r="F169" t="s">
        <v>1335</v>
      </c>
      <c r="H169">
        <v>93</v>
      </c>
      <c r="I169">
        <v>2</v>
      </c>
      <c r="J169" t="s">
        <v>1336</v>
      </c>
      <c r="K169" t="s">
        <v>1337</v>
      </c>
      <c r="L169" t="s">
        <v>1338</v>
      </c>
      <c r="Q169" t="s">
        <v>1339</v>
      </c>
      <c r="R169" t="s">
        <v>1340</v>
      </c>
      <c r="S169" t="s">
        <v>1341</v>
      </c>
    </row>
    <row r="170" spans="1:19" x14ac:dyDescent="0.25">
      <c r="A170" t="s">
        <v>1342</v>
      </c>
      <c r="B170" t="s">
        <v>1343</v>
      </c>
      <c r="C170">
        <v>2009</v>
      </c>
      <c r="F170" t="s">
        <v>1344</v>
      </c>
      <c r="J170" t="s">
        <v>1345</v>
      </c>
      <c r="K170" t="s">
        <v>1346</v>
      </c>
      <c r="L170" t="s">
        <v>1347</v>
      </c>
      <c r="Q170" t="s">
        <v>1348</v>
      </c>
      <c r="S170" t="s">
        <v>1349</v>
      </c>
    </row>
    <row r="171" spans="1:19" x14ac:dyDescent="0.25">
      <c r="A171" t="s">
        <v>1350</v>
      </c>
      <c r="B171" t="s">
        <v>1351</v>
      </c>
      <c r="C171">
        <v>2013</v>
      </c>
      <c r="F171" t="s">
        <v>1352</v>
      </c>
      <c r="H171">
        <v>40</v>
      </c>
      <c r="I171">
        <v>1</v>
      </c>
      <c r="J171" t="s">
        <v>1353</v>
      </c>
      <c r="K171" t="s">
        <v>1354</v>
      </c>
      <c r="L171" t="s">
        <v>1355</v>
      </c>
      <c r="Q171" t="s">
        <v>1356</v>
      </c>
      <c r="R171" t="s">
        <v>1357</v>
      </c>
      <c r="S171" t="s">
        <v>1358</v>
      </c>
    </row>
    <row r="172" spans="1:19" x14ac:dyDescent="0.25">
      <c r="A172" t="s">
        <v>1359</v>
      </c>
      <c r="B172" t="s">
        <v>1360</v>
      </c>
      <c r="C172">
        <v>2024</v>
      </c>
      <c r="F172" t="s">
        <v>1188</v>
      </c>
      <c r="H172">
        <v>253</v>
      </c>
      <c r="K172" t="s">
        <v>1361</v>
      </c>
      <c r="L172" t="s">
        <v>1362</v>
      </c>
      <c r="Q172" t="s">
        <v>1363</v>
      </c>
      <c r="R172" t="s">
        <v>1364</v>
      </c>
      <c r="S172" t="s">
        <v>1365</v>
      </c>
    </row>
    <row r="173" spans="1:19" x14ac:dyDescent="0.25">
      <c r="A173" t="s">
        <v>1366</v>
      </c>
      <c r="B173" t="s">
        <v>1367</v>
      </c>
      <c r="C173">
        <v>2023</v>
      </c>
      <c r="F173" t="s">
        <v>1368</v>
      </c>
      <c r="H173">
        <v>37</v>
      </c>
      <c r="I173">
        <v>5</v>
      </c>
      <c r="K173" t="s">
        <v>1369</v>
      </c>
      <c r="L173" t="s">
        <v>1370</v>
      </c>
      <c r="Q173" t="s">
        <v>1371</v>
      </c>
      <c r="R173" t="s">
        <v>1372</v>
      </c>
      <c r="S173" t="s">
        <v>1373</v>
      </c>
    </row>
    <row r="174" spans="1:19" x14ac:dyDescent="0.25">
      <c r="A174" t="s">
        <v>1374</v>
      </c>
      <c r="B174" t="s">
        <v>1375</v>
      </c>
      <c r="C174">
        <v>2019</v>
      </c>
      <c r="F174" t="s">
        <v>58</v>
      </c>
      <c r="H174">
        <v>6</v>
      </c>
      <c r="K174" t="s">
        <v>1376</v>
      </c>
      <c r="L174" t="s">
        <v>1377</v>
      </c>
      <c r="Q174" t="s">
        <v>1378</v>
      </c>
      <c r="R174" t="s">
        <v>1379</v>
      </c>
      <c r="S174" t="s">
        <v>1380</v>
      </c>
    </row>
    <row r="175" spans="1:19" x14ac:dyDescent="0.25">
      <c r="A175" t="s">
        <v>1381</v>
      </c>
      <c r="B175" t="s">
        <v>1382</v>
      </c>
      <c r="C175">
        <v>2023</v>
      </c>
      <c r="F175" t="s">
        <v>1383</v>
      </c>
      <c r="H175">
        <v>2</v>
      </c>
      <c r="I175">
        <v>2</v>
      </c>
      <c r="J175" t="s">
        <v>1384</v>
      </c>
      <c r="K175" t="s">
        <v>1385</v>
      </c>
      <c r="L175" t="s">
        <v>1386</v>
      </c>
      <c r="Q175" t="s">
        <v>1387</v>
      </c>
      <c r="R175" t="s">
        <v>1388</v>
      </c>
      <c r="S175" t="s">
        <v>1389</v>
      </c>
    </row>
    <row r="176" spans="1:19" x14ac:dyDescent="0.25">
      <c r="A176" t="s">
        <v>1390</v>
      </c>
      <c r="B176" t="s">
        <v>1391</v>
      </c>
      <c r="C176">
        <v>2021</v>
      </c>
      <c r="F176" t="s">
        <v>42</v>
      </c>
      <c r="H176">
        <v>3</v>
      </c>
      <c r="I176">
        <v>3</v>
      </c>
      <c r="J176" t="s">
        <v>1392</v>
      </c>
      <c r="K176" t="s">
        <v>1164</v>
      </c>
      <c r="L176" t="s">
        <v>1393</v>
      </c>
      <c r="Q176" t="s">
        <v>1394</v>
      </c>
      <c r="R176" t="s">
        <v>1395</v>
      </c>
      <c r="S176" t="s">
        <v>1396</v>
      </c>
    </row>
    <row r="177" spans="1:19" x14ac:dyDescent="0.25">
      <c r="A177" t="s">
        <v>1397</v>
      </c>
      <c r="B177" t="s">
        <v>1398</v>
      </c>
      <c r="C177">
        <v>2024</v>
      </c>
      <c r="F177" t="s">
        <v>1188</v>
      </c>
      <c r="H177">
        <v>248</v>
      </c>
      <c r="K177" t="s">
        <v>1399</v>
      </c>
      <c r="L177" t="s">
        <v>1400</v>
      </c>
      <c r="Q177" t="s">
        <v>1401</v>
      </c>
      <c r="R177" t="s">
        <v>1402</v>
      </c>
      <c r="S177" t="s">
        <v>1403</v>
      </c>
    </row>
    <row r="178" spans="1:19" x14ac:dyDescent="0.25">
      <c r="A178" t="s">
        <v>1404</v>
      </c>
      <c r="B178" t="s">
        <v>1405</v>
      </c>
      <c r="C178">
        <v>2021</v>
      </c>
      <c r="F178" t="s">
        <v>315</v>
      </c>
      <c r="H178">
        <v>125</v>
      </c>
      <c r="J178" t="s">
        <v>1406</v>
      </c>
      <c r="K178" t="s">
        <v>1407</v>
      </c>
      <c r="L178" t="s">
        <v>1408</v>
      </c>
      <c r="Q178" t="s">
        <v>1409</v>
      </c>
      <c r="R178" t="s">
        <v>1410</v>
      </c>
      <c r="S178" t="s">
        <v>1411</v>
      </c>
    </row>
    <row r="179" spans="1:19" x14ac:dyDescent="0.25">
      <c r="A179" t="s">
        <v>1412</v>
      </c>
      <c r="B179" t="s">
        <v>1413</v>
      </c>
      <c r="C179">
        <v>2017</v>
      </c>
      <c r="F179" t="s">
        <v>1414</v>
      </c>
      <c r="H179">
        <v>2017</v>
      </c>
      <c r="K179" t="s">
        <v>1415</v>
      </c>
      <c r="L179" t="s">
        <v>1416</v>
      </c>
      <c r="Q179" t="s">
        <v>1417</v>
      </c>
      <c r="R179" t="s">
        <v>1418</v>
      </c>
    </row>
    <row r="180" spans="1:19" x14ac:dyDescent="0.25">
      <c r="A180" t="s">
        <v>1419</v>
      </c>
      <c r="B180" t="s">
        <v>1420</v>
      </c>
      <c r="C180">
        <v>2009</v>
      </c>
      <c r="F180" t="s">
        <v>678</v>
      </c>
      <c r="H180">
        <v>33</v>
      </c>
      <c r="I180">
        <v>1</v>
      </c>
      <c r="J180" t="s">
        <v>1421</v>
      </c>
      <c r="K180" t="s">
        <v>1422</v>
      </c>
      <c r="L180" t="s">
        <v>1423</v>
      </c>
      <c r="Q180" t="s">
        <v>1424</v>
      </c>
      <c r="R180" t="s">
        <v>1425</v>
      </c>
      <c r="S180" t="s">
        <v>1426</v>
      </c>
    </row>
    <row r="181" spans="1:19" x14ac:dyDescent="0.25">
      <c r="A181" t="s">
        <v>1427</v>
      </c>
      <c r="B181" t="s">
        <v>1428</v>
      </c>
      <c r="C181">
        <v>1998</v>
      </c>
      <c r="F181" t="s">
        <v>395</v>
      </c>
      <c r="H181">
        <v>54</v>
      </c>
      <c r="I181">
        <v>4</v>
      </c>
      <c r="J181" t="s">
        <v>1429</v>
      </c>
      <c r="K181" t="s">
        <v>1430</v>
      </c>
      <c r="L181" t="s">
        <v>1431</v>
      </c>
      <c r="Q181" t="s">
        <v>1432</v>
      </c>
      <c r="R181" t="s">
        <v>1433</v>
      </c>
      <c r="S181" t="s">
        <v>1434</v>
      </c>
    </row>
    <row r="182" spans="1:19" x14ac:dyDescent="0.25">
      <c r="A182" t="s">
        <v>1435</v>
      </c>
      <c r="B182" t="s">
        <v>1436</v>
      </c>
      <c r="C182">
        <v>2022</v>
      </c>
      <c r="F182" t="s">
        <v>58</v>
      </c>
      <c r="H182">
        <v>9</v>
      </c>
      <c r="K182" t="s">
        <v>1437</v>
      </c>
      <c r="L182" t="s">
        <v>1438</v>
      </c>
      <c r="Q182" t="s">
        <v>1439</v>
      </c>
      <c r="R182" t="s">
        <v>1440</v>
      </c>
      <c r="S182" t="s">
        <v>1441</v>
      </c>
    </row>
    <row r="183" spans="1:19" x14ac:dyDescent="0.25">
      <c r="A183" t="s">
        <v>1442</v>
      </c>
      <c r="B183" t="s">
        <v>1443</v>
      </c>
      <c r="C183">
        <v>2019</v>
      </c>
      <c r="F183" t="s">
        <v>1444</v>
      </c>
      <c r="H183">
        <v>52</v>
      </c>
      <c r="J183" t="s">
        <v>1445</v>
      </c>
      <c r="K183" t="s">
        <v>1446</v>
      </c>
      <c r="L183" t="s">
        <v>1447</v>
      </c>
      <c r="Q183" t="s">
        <v>1448</v>
      </c>
      <c r="R183" t="s">
        <v>1449</v>
      </c>
      <c r="S183" t="s">
        <v>1450</v>
      </c>
    </row>
    <row r="184" spans="1:19" x14ac:dyDescent="0.25">
      <c r="A184" t="s">
        <v>1451</v>
      </c>
      <c r="B184" t="s">
        <v>1452</v>
      </c>
      <c r="C184">
        <v>2014</v>
      </c>
      <c r="F184" t="s">
        <v>576</v>
      </c>
      <c r="H184">
        <v>51</v>
      </c>
      <c r="I184">
        <v>5</v>
      </c>
      <c r="J184" t="s">
        <v>1453</v>
      </c>
      <c r="K184" t="s">
        <v>1454</v>
      </c>
      <c r="L184" t="s">
        <v>1455</v>
      </c>
      <c r="Q184" t="s">
        <v>1456</v>
      </c>
      <c r="R184" t="s">
        <v>1457</v>
      </c>
      <c r="S184" t="s">
        <v>1458</v>
      </c>
    </row>
    <row r="185" spans="1:19" x14ac:dyDescent="0.25">
      <c r="A185" t="s">
        <v>1459</v>
      </c>
      <c r="B185" t="s">
        <v>1460</v>
      </c>
      <c r="C185">
        <v>2015</v>
      </c>
      <c r="F185" t="s">
        <v>1368</v>
      </c>
      <c r="H185">
        <v>29</v>
      </c>
      <c r="I185">
        <v>1</v>
      </c>
      <c r="J185" t="s">
        <v>1461</v>
      </c>
      <c r="K185" t="s">
        <v>1462</v>
      </c>
      <c r="L185" t="s">
        <v>1463</v>
      </c>
      <c r="Q185" t="s">
        <v>1464</v>
      </c>
      <c r="R185" t="s">
        <v>1465</v>
      </c>
      <c r="S185" t="s">
        <v>1466</v>
      </c>
    </row>
    <row r="186" spans="1:19" x14ac:dyDescent="0.25">
      <c r="A186" t="s">
        <v>1467</v>
      </c>
      <c r="B186" t="s">
        <v>1468</v>
      </c>
      <c r="C186">
        <v>2017</v>
      </c>
      <c r="F186" t="s">
        <v>223</v>
      </c>
      <c r="H186">
        <v>60</v>
      </c>
      <c r="I186">
        <v>5</v>
      </c>
      <c r="J186" t="s">
        <v>1469</v>
      </c>
      <c r="K186" t="s">
        <v>1470</v>
      </c>
      <c r="L186" t="s">
        <v>1471</v>
      </c>
      <c r="Q186" t="s">
        <v>1472</v>
      </c>
      <c r="R186" t="s">
        <v>1473</v>
      </c>
      <c r="S186" t="s">
        <v>1474</v>
      </c>
    </row>
    <row r="187" spans="1:19" x14ac:dyDescent="0.25">
      <c r="A187" t="s">
        <v>1475</v>
      </c>
      <c r="B187" t="s">
        <v>1476</v>
      </c>
      <c r="C187">
        <v>2016</v>
      </c>
      <c r="F187" t="s">
        <v>140</v>
      </c>
      <c r="H187">
        <v>21</v>
      </c>
      <c r="I187">
        <v>1</v>
      </c>
      <c r="K187" t="s">
        <v>1477</v>
      </c>
      <c r="L187" t="s">
        <v>1478</v>
      </c>
      <c r="Q187" t="s">
        <v>1479</v>
      </c>
      <c r="R187" t="s">
        <v>1480</v>
      </c>
      <c r="S187" t="s">
        <v>1481</v>
      </c>
    </row>
    <row r="188" spans="1:19" x14ac:dyDescent="0.25">
      <c r="A188" t="s">
        <v>1482</v>
      </c>
      <c r="B188" t="s">
        <v>1483</v>
      </c>
      <c r="C188">
        <v>2025</v>
      </c>
      <c r="F188" t="s">
        <v>678</v>
      </c>
      <c r="H188">
        <v>173</v>
      </c>
      <c r="K188" t="s">
        <v>1484</v>
      </c>
      <c r="L188" t="s">
        <v>1485</v>
      </c>
      <c r="Q188" t="s">
        <v>1486</v>
      </c>
      <c r="R188" t="s">
        <v>1487</v>
      </c>
      <c r="S188" t="s">
        <v>1488</v>
      </c>
    </row>
    <row r="189" spans="1:19" x14ac:dyDescent="0.25">
      <c r="A189" t="s">
        <v>1489</v>
      </c>
      <c r="B189" t="s">
        <v>1490</v>
      </c>
      <c r="C189">
        <v>2024</v>
      </c>
      <c r="F189" t="s">
        <v>1491</v>
      </c>
      <c r="H189">
        <v>5</v>
      </c>
      <c r="K189" t="s">
        <v>1492</v>
      </c>
      <c r="L189" t="s">
        <v>1493</v>
      </c>
      <c r="Q189" t="s">
        <v>1494</v>
      </c>
      <c r="R189" t="s">
        <v>1495</v>
      </c>
      <c r="S189" t="s">
        <v>1496</v>
      </c>
    </row>
    <row r="190" spans="1:19" x14ac:dyDescent="0.25">
      <c r="A190" t="s">
        <v>1497</v>
      </c>
      <c r="B190" t="s">
        <v>1498</v>
      </c>
      <c r="C190">
        <v>2019</v>
      </c>
      <c r="F190" t="s">
        <v>1499</v>
      </c>
      <c r="H190">
        <v>174</v>
      </c>
      <c r="K190" t="s">
        <v>1500</v>
      </c>
      <c r="L190" t="s">
        <v>1501</v>
      </c>
      <c r="Q190" t="s">
        <v>1502</v>
      </c>
      <c r="R190" t="s">
        <v>1503</v>
      </c>
      <c r="S190" t="s">
        <v>1504</v>
      </c>
    </row>
    <row r="191" spans="1:19" x14ac:dyDescent="0.25">
      <c r="A191" t="s">
        <v>1505</v>
      </c>
      <c r="B191" t="s">
        <v>1506</v>
      </c>
      <c r="C191">
        <v>2001</v>
      </c>
      <c r="F191" t="s">
        <v>1368</v>
      </c>
      <c r="H191">
        <v>15</v>
      </c>
      <c r="I191">
        <v>4</v>
      </c>
      <c r="J191" t="s">
        <v>1507</v>
      </c>
      <c r="K191" t="s">
        <v>1508</v>
      </c>
      <c r="L191" t="s">
        <v>1509</v>
      </c>
      <c r="Q191" t="s">
        <v>1510</v>
      </c>
      <c r="R191" t="s">
        <v>1511</v>
      </c>
      <c r="S191" t="s">
        <v>1512</v>
      </c>
    </row>
    <row r="192" spans="1:19" x14ac:dyDescent="0.25">
      <c r="A192" t="s">
        <v>1513</v>
      </c>
      <c r="B192" t="s">
        <v>1514</v>
      </c>
      <c r="C192">
        <v>2024</v>
      </c>
      <c r="F192" t="s">
        <v>1188</v>
      </c>
      <c r="H192">
        <v>248</v>
      </c>
      <c r="K192" t="s">
        <v>1515</v>
      </c>
      <c r="L192" t="s">
        <v>1516</v>
      </c>
      <c r="Q192" t="s">
        <v>1517</v>
      </c>
      <c r="R192" t="s">
        <v>1518</v>
      </c>
      <c r="S192" t="s">
        <v>1519</v>
      </c>
    </row>
    <row r="193" spans="1:19" x14ac:dyDescent="0.25">
      <c r="A193" t="s">
        <v>1520</v>
      </c>
      <c r="B193" t="s">
        <v>1521</v>
      </c>
      <c r="C193">
        <v>2018</v>
      </c>
      <c r="F193" t="s">
        <v>1522</v>
      </c>
      <c r="H193">
        <v>141</v>
      </c>
      <c r="J193" t="s">
        <v>1523</v>
      </c>
      <c r="K193" t="s">
        <v>1524</v>
      </c>
      <c r="L193" t="s">
        <v>1525</v>
      </c>
      <c r="Q193" t="s">
        <v>1526</v>
      </c>
      <c r="R193" t="s">
        <v>1527</v>
      </c>
      <c r="S193" t="s">
        <v>1528</v>
      </c>
    </row>
    <row r="194" spans="1:19" x14ac:dyDescent="0.25">
      <c r="A194" t="s">
        <v>1529</v>
      </c>
      <c r="B194" t="s">
        <v>1530</v>
      </c>
      <c r="C194">
        <v>2019</v>
      </c>
      <c r="F194" t="s">
        <v>1531</v>
      </c>
      <c r="H194">
        <v>7</v>
      </c>
      <c r="K194" t="s">
        <v>1532</v>
      </c>
      <c r="L194" t="s">
        <v>1533</v>
      </c>
      <c r="Q194" t="s">
        <v>1534</v>
      </c>
      <c r="R194" t="s">
        <v>1535</v>
      </c>
      <c r="S194" t="s">
        <v>1536</v>
      </c>
    </row>
    <row r="195" spans="1:19" x14ac:dyDescent="0.25">
      <c r="A195" t="s">
        <v>1537</v>
      </c>
      <c r="B195" t="s">
        <v>1538</v>
      </c>
      <c r="C195">
        <v>2021</v>
      </c>
      <c r="F195" t="s">
        <v>1539</v>
      </c>
      <c r="H195">
        <v>2</v>
      </c>
      <c r="I195">
        <v>2</v>
      </c>
      <c r="K195" t="s">
        <v>1540</v>
      </c>
      <c r="L195" t="s">
        <v>1541</v>
      </c>
      <c r="Q195" t="s">
        <v>1542</v>
      </c>
      <c r="R195" t="s">
        <v>1543</v>
      </c>
      <c r="S195" t="s">
        <v>1544</v>
      </c>
    </row>
    <row r="196" spans="1:19" x14ac:dyDescent="0.25">
      <c r="A196" t="s">
        <v>1545</v>
      </c>
      <c r="B196" t="s">
        <v>1546</v>
      </c>
      <c r="C196">
        <v>2010</v>
      </c>
      <c r="F196" t="s">
        <v>1547</v>
      </c>
      <c r="H196">
        <v>8</v>
      </c>
      <c r="I196">
        <v>4</v>
      </c>
      <c r="J196" t="s">
        <v>1548</v>
      </c>
      <c r="K196" t="s">
        <v>1549</v>
      </c>
      <c r="L196" t="s">
        <v>1550</v>
      </c>
      <c r="Q196" t="s">
        <v>1551</v>
      </c>
      <c r="R196" t="s">
        <v>1552</v>
      </c>
      <c r="S196" t="s">
        <v>1553</v>
      </c>
    </row>
    <row r="197" spans="1:19" x14ac:dyDescent="0.25">
      <c r="A197" t="s">
        <v>1554</v>
      </c>
      <c r="B197" t="s">
        <v>1555</v>
      </c>
      <c r="C197">
        <v>2020</v>
      </c>
      <c r="F197" t="s">
        <v>131</v>
      </c>
      <c r="H197">
        <v>241</v>
      </c>
      <c r="K197" t="s">
        <v>1556</v>
      </c>
      <c r="L197" t="s">
        <v>1557</v>
      </c>
      <c r="Q197" t="s">
        <v>1558</v>
      </c>
      <c r="R197" t="s">
        <v>1559</v>
      </c>
      <c r="S197" t="s">
        <v>1560</v>
      </c>
    </row>
    <row r="198" spans="1:19" x14ac:dyDescent="0.25">
      <c r="A198" t="s">
        <v>1561</v>
      </c>
      <c r="B198" t="s">
        <v>1562</v>
      </c>
      <c r="C198">
        <v>2010</v>
      </c>
      <c r="F198" t="s">
        <v>1563</v>
      </c>
      <c r="H198">
        <v>5</v>
      </c>
      <c r="I198">
        <v>1</v>
      </c>
      <c r="J198" s="1">
        <v>46359</v>
      </c>
      <c r="K198" t="s">
        <v>1564</v>
      </c>
      <c r="L198" t="s">
        <v>1565</v>
      </c>
      <c r="Q198" t="s">
        <v>1566</v>
      </c>
      <c r="R198" t="s">
        <v>1567</v>
      </c>
      <c r="S198" t="s">
        <v>1568</v>
      </c>
    </row>
    <row r="199" spans="1:19" x14ac:dyDescent="0.25">
      <c r="A199" t="s">
        <v>1569</v>
      </c>
      <c r="B199" t="s">
        <v>1570</v>
      </c>
      <c r="C199">
        <v>2020</v>
      </c>
      <c r="F199" t="s">
        <v>371</v>
      </c>
      <c r="H199">
        <v>2</v>
      </c>
      <c r="I199">
        <v>11</v>
      </c>
      <c r="K199" t="s">
        <v>1571</v>
      </c>
      <c r="L199" t="s">
        <v>1572</v>
      </c>
      <c r="Q199" t="s">
        <v>1573</v>
      </c>
      <c r="R199" t="s">
        <v>1574</v>
      </c>
    </row>
    <row r="200" spans="1:19" x14ac:dyDescent="0.25">
      <c r="A200" t="s">
        <v>1575</v>
      </c>
      <c r="B200" t="s">
        <v>1576</v>
      </c>
      <c r="C200">
        <v>2018</v>
      </c>
      <c r="F200" t="s">
        <v>116</v>
      </c>
      <c r="H200">
        <v>46</v>
      </c>
      <c r="J200" t="s">
        <v>1577</v>
      </c>
      <c r="K200" t="s">
        <v>1578</v>
      </c>
      <c r="L200" t="s">
        <v>1579</v>
      </c>
      <c r="Q200" t="s">
        <v>1580</v>
      </c>
      <c r="R200" t="s">
        <v>1581</v>
      </c>
      <c r="S200" t="s">
        <v>1582</v>
      </c>
    </row>
    <row r="201" spans="1:19" x14ac:dyDescent="0.25">
      <c r="A201" t="s">
        <v>1583</v>
      </c>
      <c r="B201" t="s">
        <v>1584</v>
      </c>
      <c r="C201">
        <v>2024</v>
      </c>
      <c r="F201" t="s">
        <v>371</v>
      </c>
      <c r="H201">
        <v>6</v>
      </c>
      <c r="I201">
        <v>7</v>
      </c>
      <c r="K201" t="s">
        <v>1585</v>
      </c>
      <c r="L201" t="s">
        <v>1586</v>
      </c>
      <c r="Q201" t="s">
        <v>1587</v>
      </c>
      <c r="R201" t="s">
        <v>1588</v>
      </c>
      <c r="S201" t="s">
        <v>1589</v>
      </c>
    </row>
    <row r="202" spans="1:19" x14ac:dyDescent="0.25">
      <c r="A202" t="s">
        <v>1590</v>
      </c>
      <c r="B202" t="s">
        <v>1591</v>
      </c>
      <c r="C202">
        <v>2009</v>
      </c>
      <c r="F202" t="s">
        <v>181</v>
      </c>
      <c r="H202">
        <v>42</v>
      </c>
      <c r="I202">
        <v>2</v>
      </c>
      <c r="J202" t="s">
        <v>1592</v>
      </c>
      <c r="K202" t="s">
        <v>1593</v>
      </c>
      <c r="L202" t="s">
        <v>1594</v>
      </c>
      <c r="Q202" t="s">
        <v>1595</v>
      </c>
      <c r="R202" t="s">
        <v>1596</v>
      </c>
      <c r="S202" t="s">
        <v>1597</v>
      </c>
    </row>
    <row r="203" spans="1:19" x14ac:dyDescent="0.25">
      <c r="A203" t="s">
        <v>1598</v>
      </c>
      <c r="B203" t="s">
        <v>1599</v>
      </c>
      <c r="C203">
        <v>2022</v>
      </c>
      <c r="F203" t="s">
        <v>1600</v>
      </c>
      <c r="H203">
        <v>40</v>
      </c>
      <c r="K203" t="s">
        <v>1601</v>
      </c>
      <c r="L203" t="s">
        <v>1602</v>
      </c>
      <c r="Q203" t="s">
        <v>1603</v>
      </c>
      <c r="R203" t="s">
        <v>1604</v>
      </c>
      <c r="S203" t="s">
        <v>1605</v>
      </c>
    </row>
    <row r="204" spans="1:19" x14ac:dyDescent="0.25">
      <c r="A204" t="s">
        <v>1606</v>
      </c>
      <c r="B204" t="s">
        <v>1607</v>
      </c>
      <c r="C204">
        <v>2011</v>
      </c>
      <c r="F204" t="s">
        <v>1188</v>
      </c>
      <c r="H204">
        <v>54</v>
      </c>
      <c r="I204">
        <v>11</v>
      </c>
      <c r="J204" t="s">
        <v>1608</v>
      </c>
      <c r="K204" t="s">
        <v>1609</v>
      </c>
      <c r="L204" t="s">
        <v>1610</v>
      </c>
      <c r="Q204" t="s">
        <v>1611</v>
      </c>
      <c r="R204" t="s">
        <v>1612</v>
      </c>
      <c r="S204" t="s">
        <v>1613</v>
      </c>
    </row>
    <row r="205" spans="1:19" x14ac:dyDescent="0.25">
      <c r="A205" t="s">
        <v>1614</v>
      </c>
      <c r="B205" t="s">
        <v>1615</v>
      </c>
      <c r="C205">
        <v>2006</v>
      </c>
      <c r="F205" t="s">
        <v>1616</v>
      </c>
      <c r="H205">
        <v>23</v>
      </c>
      <c r="I205">
        <v>3</v>
      </c>
      <c r="J205" t="s">
        <v>1617</v>
      </c>
      <c r="K205" t="s">
        <v>1618</v>
      </c>
      <c r="L205" t="s">
        <v>1619</v>
      </c>
      <c r="Q205" t="s">
        <v>1620</v>
      </c>
      <c r="S205" t="s">
        <v>1621</v>
      </c>
    </row>
    <row r="206" spans="1:19" x14ac:dyDescent="0.25">
      <c r="A206" t="s">
        <v>1622</v>
      </c>
      <c r="B206" t="s">
        <v>1623</v>
      </c>
      <c r="C206">
        <v>2014</v>
      </c>
      <c r="F206" t="s">
        <v>140</v>
      </c>
      <c r="H206">
        <v>19</v>
      </c>
      <c r="I206">
        <v>4</v>
      </c>
      <c r="K206" t="s">
        <v>1624</v>
      </c>
      <c r="L206" t="s">
        <v>1625</v>
      </c>
      <c r="Q206" t="s">
        <v>1626</v>
      </c>
      <c r="R206" t="s">
        <v>1627</v>
      </c>
      <c r="S206" t="s">
        <v>1628</v>
      </c>
    </row>
    <row r="207" spans="1:19" x14ac:dyDescent="0.25">
      <c r="A207" t="s">
        <v>1629</v>
      </c>
      <c r="B207" t="s">
        <v>1630</v>
      </c>
      <c r="C207">
        <v>2019</v>
      </c>
      <c r="F207" t="s">
        <v>1631</v>
      </c>
      <c r="J207" t="s">
        <v>1632</v>
      </c>
      <c r="K207" t="s">
        <v>1633</v>
      </c>
      <c r="L207" t="s">
        <v>1634</v>
      </c>
      <c r="Q207" t="s">
        <v>1635</v>
      </c>
      <c r="R207" t="s">
        <v>1636</v>
      </c>
      <c r="S207" t="s">
        <v>1637</v>
      </c>
    </row>
    <row r="208" spans="1:19" x14ac:dyDescent="0.25">
      <c r="A208" t="s">
        <v>1638</v>
      </c>
      <c r="B208" t="s">
        <v>1639</v>
      </c>
      <c r="C208">
        <v>2019</v>
      </c>
      <c r="F208" t="s">
        <v>315</v>
      </c>
      <c r="H208">
        <v>94</v>
      </c>
      <c r="J208" t="s">
        <v>1640</v>
      </c>
      <c r="K208" t="s">
        <v>1641</v>
      </c>
      <c r="L208" t="s">
        <v>1642</v>
      </c>
      <c r="Q208" t="s">
        <v>1643</v>
      </c>
      <c r="R208" t="s">
        <v>1644</v>
      </c>
      <c r="S208" t="s">
        <v>1645</v>
      </c>
    </row>
    <row r="209" spans="1:19" x14ac:dyDescent="0.25">
      <c r="A209" t="s">
        <v>1646</v>
      </c>
      <c r="B209" t="s">
        <v>1647</v>
      </c>
      <c r="C209">
        <v>2015</v>
      </c>
      <c r="F209" t="s">
        <v>140</v>
      </c>
      <c r="H209">
        <v>20</v>
      </c>
      <c r="I209">
        <v>1</v>
      </c>
      <c r="K209" t="s">
        <v>1648</v>
      </c>
      <c r="L209" t="s">
        <v>1649</v>
      </c>
      <c r="Q209" t="s">
        <v>1650</v>
      </c>
      <c r="R209" t="s">
        <v>1651</v>
      </c>
      <c r="S209" t="s">
        <v>1652</v>
      </c>
    </row>
    <row r="210" spans="1:19" x14ac:dyDescent="0.25">
      <c r="A210" t="s">
        <v>1653</v>
      </c>
      <c r="B210" t="s">
        <v>1654</v>
      </c>
      <c r="C210">
        <v>2011</v>
      </c>
      <c r="F210" t="s">
        <v>74</v>
      </c>
      <c r="H210">
        <v>20</v>
      </c>
      <c r="I210">
        <v>14</v>
      </c>
      <c r="J210" t="s">
        <v>1655</v>
      </c>
      <c r="K210" t="s">
        <v>1656</v>
      </c>
      <c r="L210" t="s">
        <v>1657</v>
      </c>
      <c r="Q210" t="s">
        <v>1658</v>
      </c>
      <c r="R210" t="s">
        <v>1659</v>
      </c>
      <c r="S210" t="s">
        <v>1660</v>
      </c>
    </row>
    <row r="211" spans="1:19" x14ac:dyDescent="0.25">
      <c r="A211" t="s">
        <v>1661</v>
      </c>
      <c r="B211" t="s">
        <v>1662</v>
      </c>
      <c r="C211">
        <v>2023</v>
      </c>
      <c r="F211" t="s">
        <v>315</v>
      </c>
      <c r="H211">
        <v>139</v>
      </c>
      <c r="J211" t="s">
        <v>1663</v>
      </c>
      <c r="K211" t="s">
        <v>1664</v>
      </c>
      <c r="L211" t="s">
        <v>1665</v>
      </c>
      <c r="Q211" t="s">
        <v>1666</v>
      </c>
      <c r="R211" t="s">
        <v>1667</v>
      </c>
      <c r="S211" t="s">
        <v>1668</v>
      </c>
    </row>
    <row r="212" spans="1:19" x14ac:dyDescent="0.25">
      <c r="A212" t="s">
        <v>1669</v>
      </c>
      <c r="B212" t="s">
        <v>1670</v>
      </c>
      <c r="C212">
        <v>2020</v>
      </c>
      <c r="F212" t="s">
        <v>124</v>
      </c>
      <c r="H212">
        <v>9</v>
      </c>
      <c r="I212">
        <v>10</v>
      </c>
      <c r="J212" s="2">
        <v>41640</v>
      </c>
      <c r="K212" t="s">
        <v>1671</v>
      </c>
      <c r="L212" t="s">
        <v>1672</v>
      </c>
      <c r="Q212" t="s">
        <v>1673</v>
      </c>
      <c r="R212" t="s">
        <v>1674</v>
      </c>
      <c r="S212" t="s">
        <v>1675</v>
      </c>
    </row>
    <row r="213" spans="1:19" x14ac:dyDescent="0.25">
      <c r="A213" t="s">
        <v>1676</v>
      </c>
      <c r="B213" t="s">
        <v>1677</v>
      </c>
      <c r="C213">
        <v>2022</v>
      </c>
      <c r="F213" t="s">
        <v>1678</v>
      </c>
      <c r="J213" t="s">
        <v>1679</v>
      </c>
      <c r="K213" t="s">
        <v>1680</v>
      </c>
      <c r="L213" t="s">
        <v>1681</v>
      </c>
      <c r="Q213" t="s">
        <v>1682</v>
      </c>
      <c r="S213" t="s">
        <v>1683</v>
      </c>
    </row>
    <row r="214" spans="1:19" x14ac:dyDescent="0.25">
      <c r="A214" t="s">
        <v>1684</v>
      </c>
      <c r="B214" t="s">
        <v>1685</v>
      </c>
      <c r="C214">
        <v>2014</v>
      </c>
      <c r="F214" t="s">
        <v>74</v>
      </c>
      <c r="H214">
        <v>23</v>
      </c>
      <c r="I214">
        <v>14</v>
      </c>
      <c r="J214" t="s">
        <v>1686</v>
      </c>
      <c r="K214" t="s">
        <v>1687</v>
      </c>
      <c r="L214" t="s">
        <v>1688</v>
      </c>
      <c r="Q214" t="s">
        <v>1689</v>
      </c>
      <c r="R214" t="s">
        <v>1690</v>
      </c>
      <c r="S214" t="s">
        <v>1691</v>
      </c>
    </row>
    <row r="215" spans="1:19" x14ac:dyDescent="0.25">
      <c r="A215" t="s">
        <v>1692</v>
      </c>
      <c r="B215" t="s">
        <v>1693</v>
      </c>
      <c r="C215">
        <v>2011</v>
      </c>
      <c r="F215" t="s">
        <v>131</v>
      </c>
      <c r="H215">
        <v>144</v>
      </c>
      <c r="I215">
        <v>4</v>
      </c>
      <c r="J215" t="s">
        <v>1694</v>
      </c>
      <c r="K215" t="s">
        <v>1695</v>
      </c>
      <c r="L215" t="s">
        <v>1696</v>
      </c>
      <c r="Q215" t="s">
        <v>1697</v>
      </c>
      <c r="R215" t="s">
        <v>1698</v>
      </c>
      <c r="S215" t="s">
        <v>1699</v>
      </c>
    </row>
    <row r="216" spans="1:19" x14ac:dyDescent="0.25">
      <c r="A216" t="s">
        <v>1700</v>
      </c>
      <c r="B216" t="s">
        <v>1701</v>
      </c>
      <c r="C216">
        <v>2021</v>
      </c>
      <c r="F216" t="s">
        <v>1292</v>
      </c>
      <c r="H216">
        <v>13</v>
      </c>
      <c r="I216">
        <v>5</v>
      </c>
      <c r="J216" s="2">
        <v>43101</v>
      </c>
      <c r="K216" t="s">
        <v>1702</v>
      </c>
      <c r="L216" t="s">
        <v>1703</v>
      </c>
      <c r="Q216" t="s">
        <v>1704</v>
      </c>
      <c r="R216" t="s">
        <v>1705</v>
      </c>
      <c r="S216" t="s">
        <v>1706</v>
      </c>
    </row>
    <row r="217" spans="1:19" x14ac:dyDescent="0.25">
      <c r="A217" t="s">
        <v>1707</v>
      </c>
      <c r="B217" t="s">
        <v>1708</v>
      </c>
      <c r="C217">
        <v>2018</v>
      </c>
      <c r="F217" t="s">
        <v>1709</v>
      </c>
      <c r="H217">
        <v>6</v>
      </c>
      <c r="K217" t="s">
        <v>1710</v>
      </c>
      <c r="L217" t="s">
        <v>1711</v>
      </c>
      <c r="Q217" t="s">
        <v>1712</v>
      </c>
      <c r="R217" t="s">
        <v>1713</v>
      </c>
      <c r="S217" t="s">
        <v>1714</v>
      </c>
    </row>
    <row r="218" spans="1:19" x14ac:dyDescent="0.25">
      <c r="A218" t="s">
        <v>1715</v>
      </c>
      <c r="B218" t="s">
        <v>1716</v>
      </c>
      <c r="C218">
        <v>2018</v>
      </c>
      <c r="F218" t="s">
        <v>1717</v>
      </c>
      <c r="H218">
        <v>19</v>
      </c>
      <c r="I218">
        <v>4</v>
      </c>
      <c r="J218" t="s">
        <v>1718</v>
      </c>
      <c r="K218" t="s">
        <v>1719</v>
      </c>
      <c r="L218" t="s">
        <v>1720</v>
      </c>
      <c r="Q218" t="s">
        <v>1721</v>
      </c>
      <c r="R218" t="s">
        <v>1722</v>
      </c>
      <c r="S218" t="s">
        <v>1723</v>
      </c>
    </row>
    <row r="219" spans="1:19" x14ac:dyDescent="0.25">
      <c r="A219" t="s">
        <v>1724</v>
      </c>
      <c r="B219" t="s">
        <v>1725</v>
      </c>
      <c r="C219">
        <v>2022</v>
      </c>
      <c r="F219" t="s">
        <v>223</v>
      </c>
      <c r="H219">
        <v>69</v>
      </c>
      <c r="I219">
        <v>1</v>
      </c>
      <c r="J219" t="s">
        <v>1726</v>
      </c>
      <c r="K219" t="s">
        <v>1727</v>
      </c>
      <c r="L219" t="s">
        <v>1728</v>
      </c>
      <c r="Q219" t="s">
        <v>1729</v>
      </c>
      <c r="R219" t="s">
        <v>1730</v>
      </c>
      <c r="S219" t="s">
        <v>1731</v>
      </c>
    </row>
    <row r="220" spans="1:19" x14ac:dyDescent="0.25">
      <c r="A220" t="s">
        <v>1732</v>
      </c>
      <c r="B220" t="s">
        <v>1733</v>
      </c>
      <c r="C220">
        <v>2022</v>
      </c>
      <c r="F220" t="s">
        <v>395</v>
      </c>
      <c r="H220">
        <v>314</v>
      </c>
      <c r="K220" t="s">
        <v>1734</v>
      </c>
      <c r="L220" t="s">
        <v>1735</v>
      </c>
      <c r="Q220" t="s">
        <v>1736</v>
      </c>
      <c r="R220" t="s">
        <v>1737</v>
      </c>
      <c r="S220" t="s">
        <v>1738</v>
      </c>
    </row>
    <row r="221" spans="1:19" x14ac:dyDescent="0.25">
      <c r="A221" t="s">
        <v>1739</v>
      </c>
      <c r="B221" t="s">
        <v>1740</v>
      </c>
      <c r="C221">
        <v>2006</v>
      </c>
      <c r="F221" t="s">
        <v>1352</v>
      </c>
      <c r="H221">
        <v>33</v>
      </c>
      <c r="I221">
        <v>1</v>
      </c>
      <c r="J221" s="1">
        <v>46296</v>
      </c>
      <c r="K221" t="s">
        <v>1741</v>
      </c>
      <c r="L221" t="s">
        <v>1742</v>
      </c>
      <c r="Q221" t="s">
        <v>1743</v>
      </c>
      <c r="R221" t="s">
        <v>1744</v>
      </c>
      <c r="S221" t="s">
        <v>1745</v>
      </c>
    </row>
    <row r="222" spans="1:19" x14ac:dyDescent="0.25">
      <c r="A222" t="s">
        <v>1746</v>
      </c>
      <c r="B222" t="s">
        <v>1747</v>
      </c>
      <c r="C222">
        <v>2014</v>
      </c>
      <c r="F222" t="s">
        <v>140</v>
      </c>
      <c r="H222">
        <v>19</v>
      </c>
      <c r="I222">
        <v>2</v>
      </c>
      <c r="K222" t="s">
        <v>1748</v>
      </c>
      <c r="L222" t="s">
        <v>1749</v>
      </c>
      <c r="Q222" t="s">
        <v>1750</v>
      </c>
      <c r="R222" t="s">
        <v>1751</v>
      </c>
      <c r="S222" t="s">
        <v>1752</v>
      </c>
    </row>
    <row r="223" spans="1:19" x14ac:dyDescent="0.25">
      <c r="A223" t="s">
        <v>1753</v>
      </c>
      <c r="B223" t="s">
        <v>1754</v>
      </c>
      <c r="C223">
        <v>2016</v>
      </c>
      <c r="F223" t="s">
        <v>1755</v>
      </c>
      <c r="H223">
        <v>47</v>
      </c>
      <c r="I223">
        <v>4</v>
      </c>
      <c r="J223" t="s">
        <v>1756</v>
      </c>
      <c r="K223" t="s">
        <v>1757</v>
      </c>
      <c r="L223" t="s">
        <v>1758</v>
      </c>
      <c r="Q223" t="s">
        <v>1759</v>
      </c>
      <c r="R223" t="s">
        <v>1760</v>
      </c>
      <c r="S223" t="s">
        <v>1761</v>
      </c>
    </row>
    <row r="224" spans="1:19" x14ac:dyDescent="0.25">
      <c r="A224" t="s">
        <v>1762</v>
      </c>
      <c r="B224" t="s">
        <v>1763</v>
      </c>
      <c r="C224">
        <v>2023</v>
      </c>
      <c r="F224" t="s">
        <v>1368</v>
      </c>
      <c r="H224">
        <v>37</v>
      </c>
      <c r="I224">
        <v>6</v>
      </c>
      <c r="K224" t="s">
        <v>1764</v>
      </c>
      <c r="L224" t="s">
        <v>1765</v>
      </c>
      <c r="Q224" t="s">
        <v>1766</v>
      </c>
      <c r="R224" t="s">
        <v>1767</v>
      </c>
      <c r="S224" t="s">
        <v>1768</v>
      </c>
    </row>
    <row r="225" spans="1:19" x14ac:dyDescent="0.25">
      <c r="A225" t="s">
        <v>1769</v>
      </c>
      <c r="B225" t="s">
        <v>1770</v>
      </c>
      <c r="C225">
        <v>2005</v>
      </c>
      <c r="F225" t="s">
        <v>1771</v>
      </c>
      <c r="J225" t="s">
        <v>1772</v>
      </c>
      <c r="K225" t="s">
        <v>1773</v>
      </c>
      <c r="L225" t="s">
        <v>1774</v>
      </c>
      <c r="Q225" t="s">
        <v>1775</v>
      </c>
      <c r="R225" t="s">
        <v>1776</v>
      </c>
      <c r="S225" t="s">
        <v>1777</v>
      </c>
    </row>
    <row r="226" spans="1:19" x14ac:dyDescent="0.25">
      <c r="A226" t="s">
        <v>1778</v>
      </c>
      <c r="B226" t="s">
        <v>1779</v>
      </c>
      <c r="C226">
        <v>2006</v>
      </c>
      <c r="F226" t="s">
        <v>1368</v>
      </c>
      <c r="H226">
        <v>20</v>
      </c>
      <c r="I226">
        <v>3</v>
      </c>
      <c r="J226" t="s">
        <v>1780</v>
      </c>
      <c r="K226" t="s">
        <v>1781</v>
      </c>
      <c r="L226" t="s">
        <v>1782</v>
      </c>
      <c r="Q226" t="s">
        <v>1783</v>
      </c>
      <c r="R226" t="s">
        <v>1784</v>
      </c>
      <c r="S226" t="s">
        <v>1785</v>
      </c>
    </row>
    <row r="227" spans="1:19" x14ac:dyDescent="0.25">
      <c r="A227" t="s">
        <v>1786</v>
      </c>
      <c r="B227" t="s">
        <v>1787</v>
      </c>
      <c r="C227">
        <v>2018</v>
      </c>
      <c r="F227" t="s">
        <v>1197</v>
      </c>
      <c r="H227">
        <v>43</v>
      </c>
      <c r="I227">
        <v>1</v>
      </c>
      <c r="J227" t="s">
        <v>1788</v>
      </c>
      <c r="K227" t="s">
        <v>1319</v>
      </c>
      <c r="L227" t="s">
        <v>1789</v>
      </c>
      <c r="Q227" t="s">
        <v>1790</v>
      </c>
      <c r="R227" t="s">
        <v>1791</v>
      </c>
    </row>
    <row r="228" spans="1:19" x14ac:dyDescent="0.25">
      <c r="A228" t="s">
        <v>1792</v>
      </c>
      <c r="B228" t="s">
        <v>1793</v>
      </c>
      <c r="C228">
        <v>2014</v>
      </c>
      <c r="F228" t="s">
        <v>1188</v>
      </c>
      <c r="H228">
        <v>91</v>
      </c>
      <c r="J228" s="2">
        <v>42491</v>
      </c>
      <c r="K228" t="s">
        <v>1794</v>
      </c>
      <c r="L228" t="s">
        <v>1795</v>
      </c>
      <c r="Q228" t="s">
        <v>1796</v>
      </c>
      <c r="R228" t="s">
        <v>1797</v>
      </c>
    </row>
    <row r="229" spans="1:19" x14ac:dyDescent="0.25">
      <c r="A229" t="s">
        <v>1798</v>
      </c>
      <c r="B229" t="s">
        <v>1799</v>
      </c>
      <c r="C229">
        <v>2013</v>
      </c>
      <c r="F229" t="s">
        <v>1800</v>
      </c>
      <c r="H229">
        <v>82</v>
      </c>
      <c r="J229" t="s">
        <v>1801</v>
      </c>
      <c r="K229" t="s">
        <v>1802</v>
      </c>
      <c r="L229" t="s">
        <v>1803</v>
      </c>
      <c r="Q229" t="s">
        <v>1804</v>
      </c>
      <c r="R229" t="s">
        <v>1805</v>
      </c>
      <c r="S229" t="s">
        <v>1806</v>
      </c>
    </row>
    <row r="230" spans="1:19" x14ac:dyDescent="0.25">
      <c r="A230" t="s">
        <v>1807</v>
      </c>
      <c r="B230" t="s">
        <v>1808</v>
      </c>
      <c r="C230">
        <v>2024</v>
      </c>
      <c r="F230" t="s">
        <v>1809</v>
      </c>
      <c r="H230">
        <v>73</v>
      </c>
      <c r="K230" t="s">
        <v>1810</v>
      </c>
      <c r="L230" t="s">
        <v>1811</v>
      </c>
      <c r="Q230" t="s">
        <v>1812</v>
      </c>
      <c r="R230" t="s">
        <v>1813</v>
      </c>
      <c r="S230" t="s">
        <v>1814</v>
      </c>
    </row>
    <row r="231" spans="1:19" x14ac:dyDescent="0.25">
      <c r="A231" t="s">
        <v>1815</v>
      </c>
      <c r="B231" t="s">
        <v>1816</v>
      </c>
      <c r="C231">
        <v>2007</v>
      </c>
      <c r="F231" t="s">
        <v>1817</v>
      </c>
      <c r="H231">
        <v>7</v>
      </c>
      <c r="I231">
        <v>2</v>
      </c>
      <c r="J231" t="s">
        <v>1818</v>
      </c>
      <c r="K231" t="s">
        <v>1819</v>
      </c>
      <c r="L231" t="s">
        <v>1820</v>
      </c>
      <c r="Q231" t="s">
        <v>1821</v>
      </c>
      <c r="R231" t="s">
        <v>1822</v>
      </c>
      <c r="S231" t="s">
        <v>1823</v>
      </c>
    </row>
    <row r="232" spans="1:19" x14ac:dyDescent="0.25">
      <c r="A232" t="s">
        <v>1824</v>
      </c>
      <c r="B232" t="s">
        <v>1825</v>
      </c>
      <c r="C232">
        <v>2019</v>
      </c>
      <c r="F232" t="s">
        <v>371</v>
      </c>
      <c r="H232">
        <v>1</v>
      </c>
      <c r="I232">
        <v>8</v>
      </c>
      <c r="K232" t="s">
        <v>1826</v>
      </c>
      <c r="L232" t="s">
        <v>1827</v>
      </c>
      <c r="Q232" t="s">
        <v>1828</v>
      </c>
      <c r="R232" t="s">
        <v>1829</v>
      </c>
      <c r="S232" t="s">
        <v>1830</v>
      </c>
    </row>
    <row r="233" spans="1:19" x14ac:dyDescent="0.25">
      <c r="A233" t="s">
        <v>1831</v>
      </c>
      <c r="B233" t="s">
        <v>1832</v>
      </c>
      <c r="C233">
        <v>2017</v>
      </c>
      <c r="F233" t="s">
        <v>1833</v>
      </c>
      <c r="H233">
        <v>32</v>
      </c>
      <c r="I233">
        <v>9</v>
      </c>
      <c r="J233" t="s">
        <v>1834</v>
      </c>
      <c r="K233" t="s">
        <v>1835</v>
      </c>
      <c r="L233" t="s">
        <v>1836</v>
      </c>
      <c r="Q233" t="s">
        <v>1837</v>
      </c>
      <c r="R233" t="s">
        <v>1838</v>
      </c>
      <c r="S233" t="s">
        <v>1839</v>
      </c>
    </row>
    <row r="234" spans="1:19" x14ac:dyDescent="0.25">
      <c r="A234" t="s">
        <v>1840</v>
      </c>
      <c r="B234" t="s">
        <v>1841</v>
      </c>
      <c r="C234">
        <v>2015</v>
      </c>
      <c r="F234" t="s">
        <v>1842</v>
      </c>
      <c r="J234" t="s">
        <v>1843</v>
      </c>
      <c r="K234" t="s">
        <v>1844</v>
      </c>
      <c r="L234" t="s">
        <v>1845</v>
      </c>
      <c r="Q234" t="s">
        <v>1846</v>
      </c>
      <c r="R234" t="s">
        <v>1847</v>
      </c>
      <c r="S234" t="s">
        <v>1848</v>
      </c>
    </row>
    <row r="235" spans="1:19" x14ac:dyDescent="0.25">
      <c r="A235" t="s">
        <v>1849</v>
      </c>
      <c r="B235" t="s">
        <v>1850</v>
      </c>
      <c r="C235">
        <v>2019</v>
      </c>
      <c r="F235" t="s">
        <v>678</v>
      </c>
      <c r="H235">
        <v>108</v>
      </c>
      <c r="K235" t="s">
        <v>1851</v>
      </c>
      <c r="L235" t="s">
        <v>1852</v>
      </c>
      <c r="Q235" t="s">
        <v>1853</v>
      </c>
      <c r="R235" t="s">
        <v>1854</v>
      </c>
      <c r="S235" t="s">
        <v>1855</v>
      </c>
    </row>
    <row r="236" spans="1:19" x14ac:dyDescent="0.25">
      <c r="A236" t="s">
        <v>1856</v>
      </c>
      <c r="B236" t="s">
        <v>1857</v>
      </c>
      <c r="C236">
        <v>2022</v>
      </c>
      <c r="F236" t="s">
        <v>458</v>
      </c>
      <c r="H236">
        <v>13</v>
      </c>
      <c r="I236">
        <v>1</v>
      </c>
      <c r="J236" t="s">
        <v>1858</v>
      </c>
      <c r="K236" t="s">
        <v>1859</v>
      </c>
      <c r="L236" t="s">
        <v>1860</v>
      </c>
      <c r="Q236" t="s">
        <v>1861</v>
      </c>
      <c r="R236" t="s">
        <v>1862</v>
      </c>
      <c r="S236" t="s">
        <v>1863</v>
      </c>
    </row>
    <row r="237" spans="1:19" x14ac:dyDescent="0.25">
      <c r="A237" t="s">
        <v>1864</v>
      </c>
      <c r="B237" t="s">
        <v>1865</v>
      </c>
      <c r="C237">
        <v>2020</v>
      </c>
      <c r="F237" t="s">
        <v>315</v>
      </c>
      <c r="H237">
        <v>113</v>
      </c>
      <c r="J237" t="s">
        <v>1866</v>
      </c>
      <c r="K237" t="s">
        <v>1867</v>
      </c>
      <c r="L237" t="s">
        <v>1868</v>
      </c>
      <c r="Q237" t="s">
        <v>1869</v>
      </c>
      <c r="R237" t="s">
        <v>1870</v>
      </c>
      <c r="S237" t="s">
        <v>1871</v>
      </c>
    </row>
    <row r="238" spans="1:19" x14ac:dyDescent="0.25">
      <c r="A238" t="s">
        <v>1872</v>
      </c>
      <c r="B238" t="s">
        <v>1873</v>
      </c>
      <c r="C238">
        <v>2014</v>
      </c>
      <c r="F238" t="s">
        <v>1874</v>
      </c>
      <c r="H238">
        <v>111</v>
      </c>
      <c r="I238">
        <v>30</v>
      </c>
      <c r="J238" t="s">
        <v>1875</v>
      </c>
      <c r="K238" t="s">
        <v>1876</v>
      </c>
      <c r="L238" t="s">
        <v>1877</v>
      </c>
      <c r="Q238" t="s">
        <v>1878</v>
      </c>
      <c r="R238" t="s">
        <v>1879</v>
      </c>
      <c r="S238" t="s">
        <v>1880</v>
      </c>
    </row>
    <row r="239" spans="1:19" x14ac:dyDescent="0.25">
      <c r="A239" t="s">
        <v>1881</v>
      </c>
      <c r="B239" t="s">
        <v>1882</v>
      </c>
      <c r="C239">
        <v>2018</v>
      </c>
      <c r="F239" t="s">
        <v>1309</v>
      </c>
      <c r="H239">
        <v>75</v>
      </c>
      <c r="I239">
        <v>10</v>
      </c>
      <c r="J239" t="s">
        <v>1883</v>
      </c>
      <c r="K239" t="s">
        <v>1884</v>
      </c>
      <c r="L239" t="s">
        <v>1885</v>
      </c>
      <c r="Q239" t="s">
        <v>1886</v>
      </c>
      <c r="R239" t="s">
        <v>1887</v>
      </c>
      <c r="S239" t="s">
        <v>1888</v>
      </c>
    </row>
    <row r="240" spans="1:19" x14ac:dyDescent="0.25">
      <c r="A240" t="s">
        <v>1889</v>
      </c>
      <c r="B240" t="s">
        <v>1890</v>
      </c>
      <c r="C240">
        <v>2014</v>
      </c>
      <c r="F240" t="s">
        <v>1891</v>
      </c>
      <c r="H240">
        <v>7</v>
      </c>
      <c r="I240">
        <v>2</v>
      </c>
      <c r="J240" t="s">
        <v>1892</v>
      </c>
      <c r="K240" t="s">
        <v>1893</v>
      </c>
      <c r="L240" t="s">
        <v>1894</v>
      </c>
      <c r="Q240" t="s">
        <v>1895</v>
      </c>
      <c r="R240" t="s">
        <v>1896</v>
      </c>
      <c r="S240" t="s">
        <v>1897</v>
      </c>
    </row>
    <row r="241" spans="1:19" x14ac:dyDescent="0.25">
      <c r="A241" t="s">
        <v>1898</v>
      </c>
      <c r="B241" t="s">
        <v>1899</v>
      </c>
      <c r="C241">
        <v>2020</v>
      </c>
      <c r="F241" t="s">
        <v>1900</v>
      </c>
      <c r="H241">
        <v>29</v>
      </c>
      <c r="I241">
        <v>1</v>
      </c>
      <c r="K241" t="s">
        <v>1901</v>
      </c>
      <c r="L241" t="s">
        <v>1902</v>
      </c>
      <c r="Q241" t="s">
        <v>1502</v>
      </c>
      <c r="R241" t="s">
        <v>1903</v>
      </c>
      <c r="S241" t="s">
        <v>1904</v>
      </c>
    </row>
    <row r="242" spans="1:19" x14ac:dyDescent="0.25">
      <c r="A242" t="s">
        <v>1905</v>
      </c>
      <c r="B242" t="s">
        <v>1906</v>
      </c>
      <c r="C242">
        <v>2016</v>
      </c>
      <c r="F242" t="s">
        <v>1907</v>
      </c>
      <c r="H242">
        <v>46</v>
      </c>
      <c r="I242">
        <v>4</v>
      </c>
      <c r="J242" t="s">
        <v>1908</v>
      </c>
      <c r="K242" t="s">
        <v>1909</v>
      </c>
      <c r="L242" t="s">
        <v>1910</v>
      </c>
      <c r="Q242" t="s">
        <v>1911</v>
      </c>
      <c r="R242" t="s">
        <v>1912</v>
      </c>
      <c r="S242" t="s">
        <v>1913</v>
      </c>
    </row>
    <row r="243" spans="1:19" x14ac:dyDescent="0.25">
      <c r="A243" t="s">
        <v>1914</v>
      </c>
      <c r="B243" t="s">
        <v>1915</v>
      </c>
      <c r="C243">
        <v>2022</v>
      </c>
      <c r="F243" t="s">
        <v>58</v>
      </c>
      <c r="H243">
        <v>9</v>
      </c>
      <c r="K243" t="s">
        <v>1916</v>
      </c>
      <c r="L243" t="s">
        <v>1917</v>
      </c>
      <c r="Q243" t="s">
        <v>1918</v>
      </c>
      <c r="R243" t="s">
        <v>1919</v>
      </c>
      <c r="S243" t="s">
        <v>1920</v>
      </c>
    </row>
    <row r="244" spans="1:19" x14ac:dyDescent="0.25">
      <c r="A244" t="s">
        <v>1921</v>
      </c>
      <c r="B244" t="s">
        <v>1922</v>
      </c>
      <c r="C244">
        <v>2012</v>
      </c>
      <c r="F244" t="s">
        <v>1923</v>
      </c>
      <c r="H244">
        <v>65</v>
      </c>
      <c r="I244">
        <v>6</v>
      </c>
      <c r="J244" t="s">
        <v>1924</v>
      </c>
      <c r="K244" t="s">
        <v>1925</v>
      </c>
      <c r="L244" t="s">
        <v>1926</v>
      </c>
      <c r="Q244" t="s">
        <v>1927</v>
      </c>
      <c r="R244" t="s">
        <v>1928</v>
      </c>
      <c r="S244" t="s">
        <v>1929</v>
      </c>
    </row>
    <row r="245" spans="1:19" x14ac:dyDescent="0.25">
      <c r="A245" t="s">
        <v>1930</v>
      </c>
      <c r="B245" t="s">
        <v>1931</v>
      </c>
      <c r="C245">
        <v>2023</v>
      </c>
      <c r="F245" t="s">
        <v>889</v>
      </c>
      <c r="H245">
        <v>263</v>
      </c>
      <c r="K245" t="s">
        <v>1932</v>
      </c>
      <c r="L245" t="s">
        <v>1933</v>
      </c>
      <c r="Q245" t="s">
        <v>1934</v>
      </c>
      <c r="R245" t="s">
        <v>1935</v>
      </c>
      <c r="S245" t="s">
        <v>1936</v>
      </c>
    </row>
    <row r="246" spans="1:19" x14ac:dyDescent="0.25">
      <c r="A246" t="s">
        <v>1937</v>
      </c>
      <c r="B246" t="s">
        <v>1938</v>
      </c>
      <c r="C246">
        <v>2020</v>
      </c>
      <c r="F246" t="s">
        <v>419</v>
      </c>
      <c r="H246">
        <v>705</v>
      </c>
      <c r="K246" t="s">
        <v>1939</v>
      </c>
      <c r="L246" t="s">
        <v>1940</v>
      </c>
      <c r="Q246" t="s">
        <v>1941</v>
      </c>
      <c r="R246" t="s">
        <v>1942</v>
      </c>
      <c r="S246" t="s">
        <v>1943</v>
      </c>
    </row>
    <row r="247" spans="1:19" x14ac:dyDescent="0.25">
      <c r="A247" t="s">
        <v>1944</v>
      </c>
      <c r="B247" t="s">
        <v>1945</v>
      </c>
      <c r="C247">
        <v>2022</v>
      </c>
      <c r="F247" t="s">
        <v>1188</v>
      </c>
      <c r="H247">
        <v>218</v>
      </c>
      <c r="K247" t="s">
        <v>1946</v>
      </c>
      <c r="L247" t="s">
        <v>1947</v>
      </c>
      <c r="Q247" t="s">
        <v>1948</v>
      </c>
      <c r="R247" t="s">
        <v>1949</v>
      </c>
    </row>
    <row r="248" spans="1:19" x14ac:dyDescent="0.25">
      <c r="A248" t="s">
        <v>1950</v>
      </c>
      <c r="B248" t="s">
        <v>1951</v>
      </c>
      <c r="C248">
        <v>2008</v>
      </c>
      <c r="F248" t="s">
        <v>140</v>
      </c>
      <c r="H248">
        <v>13</v>
      </c>
      <c r="I248">
        <v>1</v>
      </c>
      <c r="K248" t="s">
        <v>1952</v>
      </c>
      <c r="L248" t="s">
        <v>1953</v>
      </c>
      <c r="Q248" t="s">
        <v>1954</v>
      </c>
      <c r="R248" t="s">
        <v>1955</v>
      </c>
      <c r="S248" t="s">
        <v>1956</v>
      </c>
    </row>
    <row r="249" spans="1:19" x14ac:dyDescent="0.25">
      <c r="A249" t="s">
        <v>1957</v>
      </c>
      <c r="B249" t="s">
        <v>1958</v>
      </c>
      <c r="C249">
        <v>2022</v>
      </c>
      <c r="F249" t="s">
        <v>223</v>
      </c>
      <c r="H249">
        <v>70</v>
      </c>
      <c r="I249">
        <v>6</v>
      </c>
      <c r="J249" t="s">
        <v>1959</v>
      </c>
      <c r="K249" t="s">
        <v>1960</v>
      </c>
      <c r="L249" t="s">
        <v>1961</v>
      </c>
      <c r="Q249" t="s">
        <v>1962</v>
      </c>
      <c r="R249" t="s">
        <v>1963</v>
      </c>
      <c r="S249" t="s">
        <v>1964</v>
      </c>
    </row>
    <row r="250" spans="1:19" x14ac:dyDescent="0.25">
      <c r="A250" t="s">
        <v>1965</v>
      </c>
      <c r="B250" t="s">
        <v>1966</v>
      </c>
      <c r="C250">
        <v>2020</v>
      </c>
      <c r="F250" t="s">
        <v>419</v>
      </c>
      <c r="H250">
        <v>724</v>
      </c>
      <c r="K250" t="s">
        <v>1967</v>
      </c>
      <c r="L250" t="s">
        <v>1968</v>
      </c>
      <c r="Q250" t="s">
        <v>1969</v>
      </c>
      <c r="R250" t="s">
        <v>1970</v>
      </c>
      <c r="S250" t="s">
        <v>1971</v>
      </c>
    </row>
    <row r="251" spans="1:19" x14ac:dyDescent="0.25">
      <c r="A251" t="s">
        <v>1972</v>
      </c>
      <c r="B251" t="s">
        <v>1973</v>
      </c>
      <c r="C251">
        <v>2021</v>
      </c>
      <c r="F251" t="s">
        <v>1974</v>
      </c>
      <c r="H251">
        <v>31</v>
      </c>
      <c r="I251">
        <v>12</v>
      </c>
      <c r="J251" t="s">
        <v>1975</v>
      </c>
      <c r="K251" t="s">
        <v>1976</v>
      </c>
      <c r="L251" t="s">
        <v>1977</v>
      </c>
      <c r="Q251" t="s">
        <v>1978</v>
      </c>
      <c r="R251" t="s">
        <v>1979</v>
      </c>
      <c r="S251" t="s">
        <v>1980</v>
      </c>
    </row>
    <row r="252" spans="1:19" x14ac:dyDescent="0.25">
      <c r="A252" t="s">
        <v>1981</v>
      </c>
      <c r="B252" t="s">
        <v>1982</v>
      </c>
      <c r="C252">
        <v>2024</v>
      </c>
      <c r="F252" t="s">
        <v>315</v>
      </c>
      <c r="H252">
        <v>158</v>
      </c>
      <c r="K252" t="s">
        <v>1983</v>
      </c>
      <c r="L252" t="s">
        <v>1984</v>
      </c>
      <c r="Q252" t="s">
        <v>1985</v>
      </c>
      <c r="R252" t="s">
        <v>1986</v>
      </c>
      <c r="S252" t="s">
        <v>1987</v>
      </c>
    </row>
    <row r="253" spans="1:19" x14ac:dyDescent="0.25">
      <c r="A253" t="s">
        <v>1988</v>
      </c>
      <c r="B253" t="s">
        <v>1989</v>
      </c>
      <c r="C253">
        <v>2017</v>
      </c>
      <c r="F253" t="s">
        <v>1990</v>
      </c>
      <c r="H253">
        <v>53</v>
      </c>
      <c r="I253">
        <v>1</v>
      </c>
      <c r="J253" s="1">
        <v>46113</v>
      </c>
      <c r="K253" t="s">
        <v>1991</v>
      </c>
      <c r="L253" t="s">
        <v>1992</v>
      </c>
      <c r="Q253" t="s">
        <v>1993</v>
      </c>
      <c r="R253" t="s">
        <v>1994</v>
      </c>
      <c r="S253" t="s">
        <v>1995</v>
      </c>
    </row>
    <row r="254" spans="1:19" x14ac:dyDescent="0.25">
      <c r="A254" t="s">
        <v>1996</v>
      </c>
      <c r="B254" t="s">
        <v>1997</v>
      </c>
      <c r="C254">
        <v>2017</v>
      </c>
      <c r="F254" t="s">
        <v>1998</v>
      </c>
      <c r="H254">
        <v>5</v>
      </c>
      <c r="I254">
        <v>1</v>
      </c>
      <c r="K254" t="s">
        <v>1999</v>
      </c>
      <c r="L254" t="s">
        <v>2000</v>
      </c>
      <c r="Q254" t="s">
        <v>2001</v>
      </c>
      <c r="R254" t="s">
        <v>2002</v>
      </c>
      <c r="S254" t="s">
        <v>2003</v>
      </c>
    </row>
    <row r="255" spans="1:19" x14ac:dyDescent="0.25">
      <c r="A255" t="s">
        <v>2004</v>
      </c>
      <c r="B255" t="s">
        <v>2005</v>
      </c>
      <c r="C255">
        <v>2022</v>
      </c>
      <c r="F255" t="s">
        <v>2006</v>
      </c>
      <c r="H255">
        <v>17</v>
      </c>
      <c r="I255">
        <v>2</v>
      </c>
      <c r="K255" t="s">
        <v>2007</v>
      </c>
      <c r="L255" t="s">
        <v>2008</v>
      </c>
      <c r="Q255" t="s">
        <v>1304</v>
      </c>
      <c r="R255" t="s">
        <v>2009</v>
      </c>
      <c r="S255" t="s">
        <v>2010</v>
      </c>
    </row>
    <row r="256" spans="1:19" x14ac:dyDescent="0.25">
      <c r="A256" t="s">
        <v>2011</v>
      </c>
      <c r="B256" t="s">
        <v>2012</v>
      </c>
      <c r="C256">
        <v>2014</v>
      </c>
      <c r="F256" t="s">
        <v>1188</v>
      </c>
      <c r="H256">
        <v>96</v>
      </c>
      <c r="J256" t="s">
        <v>2013</v>
      </c>
      <c r="K256" t="s">
        <v>2014</v>
      </c>
      <c r="L256" t="s">
        <v>2015</v>
      </c>
      <c r="Q256" t="s">
        <v>2016</v>
      </c>
      <c r="R256" t="s">
        <v>2017</v>
      </c>
      <c r="S256" t="s">
        <v>2018</v>
      </c>
    </row>
    <row r="257" spans="1:19" x14ac:dyDescent="0.25">
      <c r="A257" t="s">
        <v>2019</v>
      </c>
      <c r="B257" t="s">
        <v>2020</v>
      </c>
      <c r="C257">
        <v>2021</v>
      </c>
      <c r="F257" t="s">
        <v>2021</v>
      </c>
      <c r="H257">
        <v>6</v>
      </c>
      <c r="I257">
        <v>1</v>
      </c>
      <c r="J257" t="s">
        <v>2022</v>
      </c>
      <c r="K257" t="s">
        <v>2023</v>
      </c>
      <c r="L257" t="s">
        <v>2024</v>
      </c>
      <c r="Q257" t="s">
        <v>2025</v>
      </c>
      <c r="R257" t="s">
        <v>2026</v>
      </c>
      <c r="S257" t="s">
        <v>2027</v>
      </c>
    </row>
    <row r="258" spans="1:19" x14ac:dyDescent="0.25">
      <c r="A258" t="s">
        <v>2028</v>
      </c>
      <c r="B258" t="s">
        <v>2029</v>
      </c>
      <c r="C258">
        <v>2007</v>
      </c>
      <c r="F258" t="s">
        <v>2030</v>
      </c>
      <c r="H258">
        <v>40</v>
      </c>
      <c r="I258">
        <v>1</v>
      </c>
      <c r="J258" t="s">
        <v>2031</v>
      </c>
      <c r="K258" t="s">
        <v>2032</v>
      </c>
      <c r="L258" t="s">
        <v>2033</v>
      </c>
      <c r="Q258" t="s">
        <v>2034</v>
      </c>
      <c r="R258" t="s">
        <v>2035</v>
      </c>
      <c r="S258" t="s">
        <v>2036</v>
      </c>
    </row>
    <row r="259" spans="1:19" x14ac:dyDescent="0.25">
      <c r="A259" t="s">
        <v>2037</v>
      </c>
      <c r="B259" t="s">
        <v>2038</v>
      </c>
      <c r="C259">
        <v>2016</v>
      </c>
      <c r="F259" t="s">
        <v>678</v>
      </c>
      <c r="H259">
        <v>67</v>
      </c>
      <c r="J259" s="2">
        <v>44470</v>
      </c>
      <c r="K259" t="s">
        <v>2039</v>
      </c>
      <c r="L259" t="s">
        <v>2040</v>
      </c>
      <c r="Q259" t="s">
        <v>2041</v>
      </c>
      <c r="R259" t="s">
        <v>2042</v>
      </c>
      <c r="S259" t="s">
        <v>2043</v>
      </c>
    </row>
    <row r="260" spans="1:19" x14ac:dyDescent="0.25">
      <c r="A260" t="s">
        <v>2044</v>
      </c>
      <c r="B260" t="s">
        <v>2045</v>
      </c>
      <c r="C260">
        <v>2024</v>
      </c>
      <c r="F260" t="s">
        <v>2046</v>
      </c>
      <c r="H260">
        <v>19</v>
      </c>
      <c r="I260">
        <v>4</v>
      </c>
      <c r="J260" t="s">
        <v>2047</v>
      </c>
      <c r="K260" t="s">
        <v>2048</v>
      </c>
      <c r="L260" t="s">
        <v>2049</v>
      </c>
      <c r="Q260" t="s">
        <v>2050</v>
      </c>
      <c r="R260" t="s">
        <v>2051</v>
      </c>
      <c r="S260" t="s">
        <v>2052</v>
      </c>
    </row>
    <row r="261" spans="1:19" x14ac:dyDescent="0.25">
      <c r="A261" t="s">
        <v>2053</v>
      </c>
      <c r="B261" t="s">
        <v>2054</v>
      </c>
      <c r="C261">
        <v>2019</v>
      </c>
      <c r="F261" t="s">
        <v>2055</v>
      </c>
      <c r="H261">
        <v>29</v>
      </c>
      <c r="I261">
        <v>6</v>
      </c>
      <c r="K261" t="s">
        <v>2056</v>
      </c>
      <c r="L261" t="s">
        <v>2057</v>
      </c>
      <c r="Q261" t="s">
        <v>2058</v>
      </c>
      <c r="R261" t="s">
        <v>2059</v>
      </c>
      <c r="S261" t="s">
        <v>2060</v>
      </c>
    </row>
    <row r="262" spans="1:19" x14ac:dyDescent="0.25">
      <c r="A262" t="s">
        <v>2061</v>
      </c>
      <c r="B262" t="s">
        <v>2062</v>
      </c>
      <c r="C262">
        <v>2021</v>
      </c>
      <c r="F262" t="s">
        <v>2063</v>
      </c>
      <c r="H262">
        <v>13</v>
      </c>
      <c r="I262">
        <v>3</v>
      </c>
      <c r="J262" t="s">
        <v>2064</v>
      </c>
      <c r="K262" t="s">
        <v>2065</v>
      </c>
      <c r="L262" t="s">
        <v>2066</v>
      </c>
      <c r="Q262" t="s">
        <v>2067</v>
      </c>
      <c r="R262" t="s">
        <v>2068</v>
      </c>
      <c r="S262" t="s">
        <v>2069</v>
      </c>
    </row>
    <row r="263" spans="1:19" x14ac:dyDescent="0.25">
      <c r="A263" t="s">
        <v>2070</v>
      </c>
      <c r="B263" t="s">
        <v>2071</v>
      </c>
      <c r="C263">
        <v>2021</v>
      </c>
      <c r="F263" t="s">
        <v>1368</v>
      </c>
      <c r="H263">
        <v>35</v>
      </c>
      <c r="I263">
        <v>4</v>
      </c>
      <c r="J263" t="s">
        <v>2072</v>
      </c>
      <c r="K263" t="s">
        <v>2073</v>
      </c>
      <c r="L263" t="s">
        <v>2074</v>
      </c>
      <c r="Q263" t="s">
        <v>2075</v>
      </c>
      <c r="R263" t="s">
        <v>2076</v>
      </c>
      <c r="S263" t="s">
        <v>2077</v>
      </c>
    </row>
    <row r="264" spans="1:19" x14ac:dyDescent="0.25">
      <c r="A264" t="s">
        <v>2078</v>
      </c>
      <c r="B264" t="s">
        <v>2079</v>
      </c>
      <c r="C264">
        <v>2013</v>
      </c>
      <c r="F264" t="s">
        <v>1188</v>
      </c>
      <c r="H264">
        <v>84</v>
      </c>
      <c r="J264" t="s">
        <v>2080</v>
      </c>
      <c r="K264" t="s">
        <v>2081</v>
      </c>
      <c r="L264" t="s">
        <v>2082</v>
      </c>
      <c r="Q264" t="s">
        <v>2083</v>
      </c>
      <c r="R264" t="s">
        <v>2084</v>
      </c>
      <c r="S264" t="s">
        <v>2085</v>
      </c>
    </row>
    <row r="265" spans="1:19" x14ac:dyDescent="0.25">
      <c r="A265" t="s">
        <v>2086</v>
      </c>
      <c r="B265" t="s">
        <v>2087</v>
      </c>
      <c r="C265">
        <v>2016</v>
      </c>
      <c r="F265" t="s">
        <v>395</v>
      </c>
      <c r="H265">
        <v>183</v>
      </c>
      <c r="J265" t="s">
        <v>2088</v>
      </c>
      <c r="K265" t="s">
        <v>2089</v>
      </c>
      <c r="L265" t="s">
        <v>2090</v>
      </c>
      <c r="Q265" t="s">
        <v>2091</v>
      </c>
      <c r="R265" t="s">
        <v>2092</v>
      </c>
      <c r="S265" t="s">
        <v>2093</v>
      </c>
    </row>
    <row r="266" spans="1:19" x14ac:dyDescent="0.25">
      <c r="A266" t="s">
        <v>2094</v>
      </c>
      <c r="B266" t="s">
        <v>2095</v>
      </c>
      <c r="C266">
        <v>2016</v>
      </c>
      <c r="F266" t="s">
        <v>315</v>
      </c>
      <c r="H266">
        <v>64</v>
      </c>
      <c r="J266" t="s">
        <v>2096</v>
      </c>
      <c r="K266" t="s">
        <v>2097</v>
      </c>
      <c r="L266" t="s">
        <v>2098</v>
      </c>
      <c r="Q266" t="s">
        <v>2099</v>
      </c>
      <c r="R266" t="s">
        <v>2100</v>
      </c>
      <c r="S266" t="s">
        <v>2101</v>
      </c>
    </row>
    <row r="267" spans="1:19" x14ac:dyDescent="0.25">
      <c r="A267" t="s">
        <v>2102</v>
      </c>
      <c r="B267" t="s">
        <v>2103</v>
      </c>
      <c r="C267">
        <v>2010</v>
      </c>
      <c r="F267" t="s">
        <v>223</v>
      </c>
      <c r="H267">
        <v>45</v>
      </c>
      <c r="I267">
        <v>5</v>
      </c>
      <c r="J267" t="s">
        <v>2104</v>
      </c>
      <c r="K267" t="s">
        <v>2105</v>
      </c>
      <c r="L267" t="s">
        <v>2106</v>
      </c>
      <c r="Q267" t="s">
        <v>2107</v>
      </c>
      <c r="R267" t="s">
        <v>2108</v>
      </c>
      <c r="S267" t="s">
        <v>2109</v>
      </c>
    </row>
    <row r="268" spans="1:19" x14ac:dyDescent="0.25">
      <c r="A268" t="s">
        <v>2110</v>
      </c>
      <c r="B268" t="s">
        <v>2111</v>
      </c>
      <c r="C268">
        <v>2008</v>
      </c>
      <c r="F268" t="s">
        <v>2112</v>
      </c>
      <c r="H268">
        <v>79</v>
      </c>
      <c r="I268">
        <v>2</v>
      </c>
      <c r="J268" t="s">
        <v>2113</v>
      </c>
      <c r="K268" t="s">
        <v>2114</v>
      </c>
      <c r="L268" t="s">
        <v>2115</v>
      </c>
      <c r="Q268" t="s">
        <v>2116</v>
      </c>
      <c r="R268" t="s">
        <v>2117</v>
      </c>
      <c r="S268" t="s">
        <v>2118</v>
      </c>
    </row>
    <row r="269" spans="1:19" x14ac:dyDescent="0.25">
      <c r="A269" t="s">
        <v>2119</v>
      </c>
      <c r="B269" t="s">
        <v>2120</v>
      </c>
      <c r="C269">
        <v>2021</v>
      </c>
      <c r="F269" t="s">
        <v>1292</v>
      </c>
      <c r="H269">
        <v>13</v>
      </c>
      <c r="I269">
        <v>4</v>
      </c>
      <c r="J269" s="2">
        <v>44197</v>
      </c>
      <c r="K269" t="s">
        <v>2121</v>
      </c>
      <c r="L269" t="s">
        <v>2122</v>
      </c>
      <c r="Q269" t="s">
        <v>2123</v>
      </c>
      <c r="R269" t="s">
        <v>2124</v>
      </c>
      <c r="S269" t="s">
        <v>2125</v>
      </c>
    </row>
    <row r="270" spans="1:19" x14ac:dyDescent="0.25">
      <c r="A270" t="s">
        <v>2126</v>
      </c>
      <c r="B270" t="s">
        <v>2127</v>
      </c>
      <c r="C270">
        <v>2022</v>
      </c>
      <c r="F270" t="s">
        <v>2128</v>
      </c>
      <c r="H270">
        <v>75</v>
      </c>
      <c r="K270" t="s">
        <v>2129</v>
      </c>
      <c r="L270" t="s">
        <v>2130</v>
      </c>
      <c r="Q270" t="s">
        <v>2131</v>
      </c>
      <c r="R270" t="s">
        <v>2132</v>
      </c>
      <c r="S270" t="s">
        <v>2133</v>
      </c>
    </row>
    <row r="271" spans="1:19" x14ac:dyDescent="0.25">
      <c r="A271" t="s">
        <v>2134</v>
      </c>
      <c r="B271" t="s">
        <v>2135</v>
      </c>
      <c r="C271">
        <v>2015</v>
      </c>
      <c r="F271" t="s">
        <v>1171</v>
      </c>
      <c r="H271">
        <v>72</v>
      </c>
      <c r="I271">
        <v>3</v>
      </c>
      <c r="J271" t="s">
        <v>2136</v>
      </c>
      <c r="K271" t="s">
        <v>2137</v>
      </c>
      <c r="L271" t="s">
        <v>2138</v>
      </c>
      <c r="Q271" t="s">
        <v>2139</v>
      </c>
      <c r="R271" t="s">
        <v>2140</v>
      </c>
      <c r="S271" t="s">
        <v>2141</v>
      </c>
    </row>
    <row r="272" spans="1:19" x14ac:dyDescent="0.25">
      <c r="A272" t="s">
        <v>2142</v>
      </c>
      <c r="B272" t="s">
        <v>2143</v>
      </c>
      <c r="C272">
        <v>2013</v>
      </c>
      <c r="F272" t="s">
        <v>2006</v>
      </c>
      <c r="H272">
        <v>8</v>
      </c>
      <c r="I272">
        <v>7</v>
      </c>
      <c r="K272" t="s">
        <v>2144</v>
      </c>
      <c r="L272" t="s">
        <v>2145</v>
      </c>
      <c r="Q272" t="s">
        <v>2146</v>
      </c>
      <c r="R272" t="s">
        <v>2147</v>
      </c>
      <c r="S272" t="s">
        <v>2148</v>
      </c>
    </row>
    <row r="273" spans="1:19" x14ac:dyDescent="0.25">
      <c r="A273" t="s">
        <v>2149</v>
      </c>
      <c r="B273" t="s">
        <v>2150</v>
      </c>
      <c r="C273">
        <v>2006</v>
      </c>
      <c r="F273" t="s">
        <v>2151</v>
      </c>
      <c r="H273">
        <v>58</v>
      </c>
      <c r="I273">
        <v>187</v>
      </c>
      <c r="J273" t="s">
        <v>2152</v>
      </c>
      <c r="K273" t="s">
        <v>2153</v>
      </c>
      <c r="L273" t="s">
        <v>2154</v>
      </c>
      <c r="Q273" t="s">
        <v>2155</v>
      </c>
      <c r="R273" t="s">
        <v>2156</v>
      </c>
      <c r="S273" t="s">
        <v>2157</v>
      </c>
    </row>
    <row r="274" spans="1:19" x14ac:dyDescent="0.25">
      <c r="A274" t="s">
        <v>2158</v>
      </c>
      <c r="B274" t="s">
        <v>2159</v>
      </c>
      <c r="C274">
        <v>2019</v>
      </c>
      <c r="F274" t="s">
        <v>395</v>
      </c>
      <c r="H274">
        <v>250</v>
      </c>
      <c r="K274" t="s">
        <v>2160</v>
      </c>
      <c r="L274" t="s">
        <v>2161</v>
      </c>
      <c r="Q274" t="s">
        <v>2162</v>
      </c>
      <c r="R274" t="s">
        <v>2163</v>
      </c>
      <c r="S274" t="s">
        <v>2164</v>
      </c>
    </row>
    <row r="275" spans="1:19" x14ac:dyDescent="0.25">
      <c r="A275" t="s">
        <v>2165</v>
      </c>
      <c r="B275" t="s">
        <v>2166</v>
      </c>
      <c r="C275">
        <v>2020</v>
      </c>
      <c r="F275" t="s">
        <v>83</v>
      </c>
      <c r="H275">
        <v>114</v>
      </c>
      <c r="K275" t="s">
        <v>2167</v>
      </c>
      <c r="L275" t="s">
        <v>2168</v>
      </c>
      <c r="Q275" t="s">
        <v>2169</v>
      </c>
      <c r="R275" t="s">
        <v>2170</v>
      </c>
      <c r="S275" t="s">
        <v>2171</v>
      </c>
    </row>
    <row r="276" spans="1:19" x14ac:dyDescent="0.25">
      <c r="A276" t="s">
        <v>2172</v>
      </c>
      <c r="B276" t="s">
        <v>2173</v>
      </c>
      <c r="C276">
        <v>2019</v>
      </c>
      <c r="F276" t="s">
        <v>475</v>
      </c>
      <c r="H276">
        <v>82</v>
      </c>
      <c r="J276" t="s">
        <v>2174</v>
      </c>
      <c r="K276" t="s">
        <v>2175</v>
      </c>
      <c r="L276" t="s">
        <v>2176</v>
      </c>
      <c r="Q276" t="s">
        <v>2177</v>
      </c>
      <c r="R276" t="s">
        <v>2178</v>
      </c>
      <c r="S276" t="s">
        <v>2179</v>
      </c>
    </row>
    <row r="277" spans="1:19" x14ac:dyDescent="0.25">
      <c r="A277" t="s">
        <v>2180</v>
      </c>
      <c r="B277" t="s">
        <v>2181</v>
      </c>
      <c r="C277">
        <v>2010</v>
      </c>
      <c r="F277" t="s">
        <v>2182</v>
      </c>
      <c r="J277" t="s">
        <v>2183</v>
      </c>
      <c r="K277" t="s">
        <v>2184</v>
      </c>
      <c r="L277" t="s">
        <v>2185</v>
      </c>
      <c r="Q277" t="s">
        <v>2186</v>
      </c>
    </row>
    <row r="278" spans="1:19" x14ac:dyDescent="0.25">
      <c r="A278" t="s">
        <v>2187</v>
      </c>
      <c r="B278" t="s">
        <v>2188</v>
      </c>
      <c r="C278">
        <v>2009</v>
      </c>
      <c r="F278" t="s">
        <v>2189</v>
      </c>
      <c r="J278" t="s">
        <v>2190</v>
      </c>
      <c r="K278" t="s">
        <v>2191</v>
      </c>
      <c r="L278" t="s">
        <v>2192</v>
      </c>
      <c r="Q278" t="s">
        <v>2193</v>
      </c>
      <c r="S278" t="s">
        <v>2194</v>
      </c>
    </row>
    <row r="279" spans="1:19" x14ac:dyDescent="0.25">
      <c r="A279" t="s">
        <v>2195</v>
      </c>
      <c r="B279" t="s">
        <v>2196</v>
      </c>
      <c r="C279">
        <v>2023</v>
      </c>
      <c r="F279" t="s">
        <v>2197</v>
      </c>
      <c r="H279">
        <v>1</v>
      </c>
      <c r="J279" t="s">
        <v>2198</v>
      </c>
      <c r="K279" t="s">
        <v>2199</v>
      </c>
      <c r="L279" t="s">
        <v>2200</v>
      </c>
      <c r="Q279" t="s">
        <v>2201</v>
      </c>
      <c r="S279" t="s">
        <v>2202</v>
      </c>
    </row>
    <row r="280" spans="1:19" x14ac:dyDescent="0.25">
      <c r="A280" t="s">
        <v>2203</v>
      </c>
      <c r="B280" t="s">
        <v>2204</v>
      </c>
      <c r="C280">
        <v>2017</v>
      </c>
      <c r="F280" t="s">
        <v>1197</v>
      </c>
      <c r="H280">
        <v>42</v>
      </c>
      <c r="I280">
        <v>3</v>
      </c>
      <c r="J280" t="s">
        <v>2205</v>
      </c>
      <c r="K280" t="s">
        <v>2206</v>
      </c>
      <c r="L280" t="s">
        <v>2207</v>
      </c>
      <c r="Q280" t="s">
        <v>2208</v>
      </c>
      <c r="R280" t="s">
        <v>2209</v>
      </c>
    </row>
    <row r="281" spans="1:19" x14ac:dyDescent="0.25">
      <c r="A281" t="s">
        <v>2210</v>
      </c>
      <c r="B281" t="s">
        <v>2211</v>
      </c>
      <c r="C281">
        <v>2011</v>
      </c>
      <c r="F281" t="s">
        <v>678</v>
      </c>
      <c r="H281">
        <v>35</v>
      </c>
      <c r="I281">
        <v>1</v>
      </c>
      <c r="J281" t="s">
        <v>2212</v>
      </c>
      <c r="K281" t="s">
        <v>2213</v>
      </c>
      <c r="L281" t="s">
        <v>2214</v>
      </c>
      <c r="Q281" t="s">
        <v>2215</v>
      </c>
      <c r="R281" t="s">
        <v>2216</v>
      </c>
      <c r="S281" t="s">
        <v>2217</v>
      </c>
    </row>
    <row r="282" spans="1:19" x14ac:dyDescent="0.25">
      <c r="A282" t="s">
        <v>2218</v>
      </c>
      <c r="B282" t="s">
        <v>2219</v>
      </c>
      <c r="C282">
        <v>2013</v>
      </c>
      <c r="F282" t="s">
        <v>2220</v>
      </c>
      <c r="J282" t="s">
        <v>2221</v>
      </c>
      <c r="K282" t="s">
        <v>2222</v>
      </c>
      <c r="L282" t="s">
        <v>2223</v>
      </c>
      <c r="Q282" t="s">
        <v>2224</v>
      </c>
      <c r="S282" t="s">
        <v>2225</v>
      </c>
    </row>
    <row r="283" spans="1:19" x14ac:dyDescent="0.25">
      <c r="A283" t="s">
        <v>2226</v>
      </c>
      <c r="B283" t="s">
        <v>2227</v>
      </c>
      <c r="C283">
        <v>2017</v>
      </c>
      <c r="F283" t="s">
        <v>315</v>
      </c>
      <c r="H283">
        <v>72</v>
      </c>
      <c r="J283" t="s">
        <v>2228</v>
      </c>
      <c r="K283" t="s">
        <v>2229</v>
      </c>
      <c r="L283" t="s">
        <v>2230</v>
      </c>
      <c r="Q283" t="s">
        <v>2231</v>
      </c>
      <c r="R283" t="s">
        <v>2232</v>
      </c>
      <c r="S283" t="s">
        <v>2233</v>
      </c>
    </row>
    <row r="284" spans="1:19" x14ac:dyDescent="0.25">
      <c r="A284" t="s">
        <v>2234</v>
      </c>
      <c r="B284" t="s">
        <v>2235</v>
      </c>
      <c r="C284">
        <v>2023</v>
      </c>
      <c r="F284" t="s">
        <v>678</v>
      </c>
      <c r="H284">
        <v>155</v>
      </c>
      <c r="K284" t="s">
        <v>2236</v>
      </c>
      <c r="L284" t="s">
        <v>2237</v>
      </c>
      <c r="Q284" t="s">
        <v>2238</v>
      </c>
      <c r="R284" t="s">
        <v>2239</v>
      </c>
      <c r="S284" t="s">
        <v>2240</v>
      </c>
    </row>
    <row r="285" spans="1:19" x14ac:dyDescent="0.25">
      <c r="A285" t="s">
        <v>2241</v>
      </c>
      <c r="B285" t="s">
        <v>2242</v>
      </c>
      <c r="C285">
        <v>2021</v>
      </c>
      <c r="F285" t="s">
        <v>678</v>
      </c>
      <c r="H285">
        <v>132</v>
      </c>
      <c r="K285" t="s">
        <v>2243</v>
      </c>
      <c r="L285" t="s">
        <v>2244</v>
      </c>
      <c r="Q285" t="s">
        <v>2245</v>
      </c>
      <c r="R285" t="s">
        <v>2246</v>
      </c>
      <c r="S285" t="s">
        <v>2247</v>
      </c>
    </row>
    <row r="286" spans="1:19" x14ac:dyDescent="0.25">
      <c r="A286" t="s">
        <v>2248</v>
      </c>
      <c r="B286" t="s">
        <v>2249</v>
      </c>
      <c r="C286">
        <v>2016</v>
      </c>
      <c r="F286" t="s">
        <v>2250</v>
      </c>
      <c r="H286">
        <v>36</v>
      </c>
      <c r="I286">
        <v>2</v>
      </c>
      <c r="J286" t="s">
        <v>2251</v>
      </c>
      <c r="K286" t="s">
        <v>2252</v>
      </c>
      <c r="L286" t="s">
        <v>2253</v>
      </c>
      <c r="Q286" t="s">
        <v>2254</v>
      </c>
    </row>
    <row r="287" spans="1:19" x14ac:dyDescent="0.25">
      <c r="A287" t="s">
        <v>2255</v>
      </c>
      <c r="B287" t="s">
        <v>2256</v>
      </c>
      <c r="C287">
        <v>2014</v>
      </c>
      <c r="F287" t="s">
        <v>1891</v>
      </c>
      <c r="H287">
        <v>7</v>
      </c>
      <c r="I287">
        <v>3</v>
      </c>
      <c r="J287" t="s">
        <v>2257</v>
      </c>
      <c r="K287" t="s">
        <v>2258</v>
      </c>
      <c r="L287" t="s">
        <v>2259</v>
      </c>
      <c r="Q287" t="s">
        <v>2260</v>
      </c>
      <c r="R287" t="s">
        <v>2261</v>
      </c>
      <c r="S287" t="s">
        <v>2262</v>
      </c>
    </row>
    <row r="288" spans="1:19" x14ac:dyDescent="0.25">
      <c r="A288" t="s">
        <v>2263</v>
      </c>
      <c r="B288" t="s">
        <v>2264</v>
      </c>
      <c r="C288">
        <v>2020</v>
      </c>
      <c r="F288" t="s">
        <v>371</v>
      </c>
      <c r="H288">
        <v>2</v>
      </c>
      <c r="I288">
        <v>1</v>
      </c>
      <c r="K288" t="s">
        <v>2265</v>
      </c>
      <c r="L288" t="s">
        <v>2266</v>
      </c>
      <c r="Q288" t="s">
        <v>2267</v>
      </c>
      <c r="R288" t="s">
        <v>2268</v>
      </c>
      <c r="S288" t="s">
        <v>2269</v>
      </c>
    </row>
    <row r="289" spans="1:19" x14ac:dyDescent="0.25">
      <c r="A289" t="s">
        <v>2270</v>
      </c>
      <c r="B289" t="s">
        <v>2271</v>
      </c>
      <c r="C289">
        <v>2019</v>
      </c>
      <c r="F289" t="s">
        <v>2272</v>
      </c>
      <c r="H289">
        <v>54</v>
      </c>
      <c r="J289" s="2">
        <v>43252</v>
      </c>
      <c r="K289" t="s">
        <v>2273</v>
      </c>
      <c r="L289" t="s">
        <v>2274</v>
      </c>
      <c r="Q289" t="s">
        <v>2275</v>
      </c>
      <c r="R289" t="s">
        <v>2276</v>
      </c>
      <c r="S289" t="s">
        <v>2277</v>
      </c>
    </row>
    <row r="290" spans="1:19" x14ac:dyDescent="0.25">
      <c r="A290" t="s">
        <v>2278</v>
      </c>
      <c r="B290" t="s">
        <v>2279</v>
      </c>
      <c r="C290">
        <v>2019</v>
      </c>
      <c r="F290" t="s">
        <v>2280</v>
      </c>
      <c r="J290" t="s">
        <v>2281</v>
      </c>
      <c r="K290" t="s">
        <v>2282</v>
      </c>
      <c r="L290" t="s">
        <v>2283</v>
      </c>
      <c r="Q290" t="s">
        <v>1486</v>
      </c>
    </row>
    <row r="291" spans="1:19" x14ac:dyDescent="0.25">
      <c r="A291" t="s">
        <v>2284</v>
      </c>
      <c r="B291" t="s">
        <v>2285</v>
      </c>
      <c r="C291">
        <v>2022</v>
      </c>
      <c r="F291" t="s">
        <v>678</v>
      </c>
      <c r="H291">
        <v>143</v>
      </c>
      <c r="K291" t="s">
        <v>2286</v>
      </c>
      <c r="L291" t="s">
        <v>2287</v>
      </c>
      <c r="Q291" t="s">
        <v>2288</v>
      </c>
      <c r="R291" t="s">
        <v>2289</v>
      </c>
      <c r="S291" t="s">
        <v>2290</v>
      </c>
    </row>
    <row r="292" spans="1:19" x14ac:dyDescent="0.25">
      <c r="A292" t="s">
        <v>2291</v>
      </c>
      <c r="B292" t="s">
        <v>2292</v>
      </c>
      <c r="C292">
        <v>2005</v>
      </c>
      <c r="F292" t="s">
        <v>2293</v>
      </c>
      <c r="H292">
        <v>16</v>
      </c>
      <c r="I292">
        <v>1</v>
      </c>
      <c r="J292" t="s">
        <v>2294</v>
      </c>
      <c r="K292" t="s">
        <v>2295</v>
      </c>
      <c r="L292" t="s">
        <v>2296</v>
      </c>
      <c r="Q292" t="s">
        <v>2297</v>
      </c>
      <c r="R292" t="s">
        <v>2298</v>
      </c>
      <c r="S292" t="s">
        <v>2299</v>
      </c>
    </row>
    <row r="293" spans="1:19" x14ac:dyDescent="0.25">
      <c r="A293" t="s">
        <v>2300</v>
      </c>
      <c r="B293" t="s">
        <v>2301</v>
      </c>
      <c r="C293">
        <v>2019</v>
      </c>
      <c r="F293" t="s">
        <v>2302</v>
      </c>
      <c r="J293" t="s">
        <v>2303</v>
      </c>
      <c r="K293" t="s">
        <v>2304</v>
      </c>
      <c r="L293" t="s">
        <v>2305</v>
      </c>
      <c r="Q293" t="s">
        <v>1486</v>
      </c>
      <c r="S293" t="s">
        <v>2306</v>
      </c>
    </row>
    <row r="294" spans="1:19" x14ac:dyDescent="0.25">
      <c r="A294" t="s">
        <v>2307</v>
      </c>
      <c r="B294" t="s">
        <v>2308</v>
      </c>
      <c r="C294">
        <v>2010</v>
      </c>
      <c r="F294" t="s">
        <v>2309</v>
      </c>
      <c r="J294" t="s">
        <v>2310</v>
      </c>
      <c r="K294" t="s">
        <v>2311</v>
      </c>
      <c r="L294" t="s">
        <v>2312</v>
      </c>
      <c r="Q294" t="s">
        <v>2313</v>
      </c>
      <c r="S294" t="s">
        <v>2314</v>
      </c>
    </row>
    <row r="295" spans="1:19" x14ac:dyDescent="0.25">
      <c r="A295" t="s">
        <v>2315</v>
      </c>
      <c r="B295" t="s">
        <v>2316</v>
      </c>
      <c r="C295">
        <v>2023</v>
      </c>
      <c r="F295" t="s">
        <v>1309</v>
      </c>
      <c r="H295">
        <v>80</v>
      </c>
      <c r="I295">
        <v>2</v>
      </c>
      <c r="J295" t="s">
        <v>2317</v>
      </c>
      <c r="K295" t="s">
        <v>2318</v>
      </c>
      <c r="L295" t="s">
        <v>2319</v>
      </c>
      <c r="Q295" t="s">
        <v>2320</v>
      </c>
      <c r="R295" t="s">
        <v>2321</v>
      </c>
      <c r="S295" t="s">
        <v>2322</v>
      </c>
    </row>
    <row r="296" spans="1:19" x14ac:dyDescent="0.25">
      <c r="A296" t="s">
        <v>2323</v>
      </c>
      <c r="B296" t="s">
        <v>2324</v>
      </c>
      <c r="C296">
        <v>2022</v>
      </c>
      <c r="F296" t="s">
        <v>678</v>
      </c>
      <c r="H296">
        <v>138</v>
      </c>
      <c r="K296" t="s">
        <v>2325</v>
      </c>
      <c r="L296" t="s">
        <v>2326</v>
      </c>
      <c r="Q296" t="s">
        <v>2327</v>
      </c>
      <c r="R296" t="s">
        <v>2328</v>
      </c>
      <c r="S296" t="s">
        <v>2329</v>
      </c>
    </row>
    <row r="297" spans="1:19" x14ac:dyDescent="0.25">
      <c r="A297" t="s">
        <v>2330</v>
      </c>
      <c r="B297" t="s">
        <v>2331</v>
      </c>
      <c r="C297">
        <v>2024</v>
      </c>
      <c r="F297" t="s">
        <v>1197</v>
      </c>
      <c r="H297">
        <v>49</v>
      </c>
      <c r="I297">
        <v>10</v>
      </c>
      <c r="J297" t="s">
        <v>2332</v>
      </c>
      <c r="K297" t="s">
        <v>2333</v>
      </c>
      <c r="L297" t="s">
        <v>2334</v>
      </c>
      <c r="Q297" t="s">
        <v>2335</v>
      </c>
      <c r="R297" t="s">
        <v>2336</v>
      </c>
    </row>
    <row r="298" spans="1:19" x14ac:dyDescent="0.25">
      <c r="A298" t="s">
        <v>2337</v>
      </c>
      <c r="B298" t="s">
        <v>2338</v>
      </c>
      <c r="C298">
        <v>2015</v>
      </c>
      <c r="F298" t="s">
        <v>1368</v>
      </c>
      <c r="H298">
        <v>29</v>
      </c>
      <c r="I298">
        <v>5</v>
      </c>
      <c r="J298" t="s">
        <v>2339</v>
      </c>
      <c r="K298" t="s">
        <v>2340</v>
      </c>
      <c r="L298" t="s">
        <v>2341</v>
      </c>
      <c r="Q298" t="s">
        <v>2342</v>
      </c>
      <c r="R298" t="s">
        <v>2343</v>
      </c>
      <c r="S298" t="s">
        <v>2344</v>
      </c>
    </row>
    <row r="299" spans="1:19" x14ac:dyDescent="0.25">
      <c r="A299" t="s">
        <v>2345</v>
      </c>
      <c r="B299" t="s">
        <v>2346</v>
      </c>
      <c r="C299">
        <v>2022</v>
      </c>
      <c r="F299" t="s">
        <v>2347</v>
      </c>
      <c r="H299">
        <v>14</v>
      </c>
      <c r="I299">
        <v>1</v>
      </c>
      <c r="J299" t="s">
        <v>2348</v>
      </c>
      <c r="K299" t="s">
        <v>2349</v>
      </c>
      <c r="L299" t="s">
        <v>2350</v>
      </c>
      <c r="Q299" t="s">
        <v>2351</v>
      </c>
      <c r="R299" t="s">
        <v>2352</v>
      </c>
    </row>
    <row r="300" spans="1:19" x14ac:dyDescent="0.25">
      <c r="A300" t="s">
        <v>2353</v>
      </c>
      <c r="B300" t="s">
        <v>2354</v>
      </c>
      <c r="C300">
        <v>2024</v>
      </c>
      <c r="F300" t="s">
        <v>315</v>
      </c>
      <c r="H300">
        <v>160</v>
      </c>
      <c r="K300" t="s">
        <v>2355</v>
      </c>
      <c r="L300" t="s">
        <v>2356</v>
      </c>
      <c r="Q300" t="s">
        <v>2067</v>
      </c>
      <c r="R300" t="s">
        <v>2357</v>
      </c>
      <c r="S300" t="s">
        <v>2358</v>
      </c>
    </row>
    <row r="301" spans="1:19" x14ac:dyDescent="0.25">
      <c r="A301" t="s">
        <v>2359</v>
      </c>
      <c r="B301" t="s">
        <v>2360</v>
      </c>
      <c r="C301">
        <v>2012</v>
      </c>
      <c r="F301" t="s">
        <v>733</v>
      </c>
      <c r="H301">
        <v>40</v>
      </c>
      <c r="I301">
        <v>6</v>
      </c>
      <c r="J301" t="s">
        <v>2361</v>
      </c>
      <c r="K301" t="s">
        <v>2362</v>
      </c>
      <c r="L301" t="s">
        <v>2363</v>
      </c>
      <c r="Q301" t="s">
        <v>2364</v>
      </c>
      <c r="R301" t="s">
        <v>2365</v>
      </c>
      <c r="S301" t="s">
        <v>2366</v>
      </c>
    </row>
    <row r="302" spans="1:19" x14ac:dyDescent="0.25">
      <c r="A302" t="s">
        <v>2367</v>
      </c>
      <c r="B302" t="s">
        <v>2368</v>
      </c>
      <c r="C302">
        <v>2015</v>
      </c>
      <c r="F302" t="s">
        <v>1309</v>
      </c>
      <c r="H302">
        <v>72</v>
      </c>
      <c r="I302">
        <v>10</v>
      </c>
      <c r="J302" t="s">
        <v>2369</v>
      </c>
      <c r="K302" t="s">
        <v>2370</v>
      </c>
      <c r="L302" t="s">
        <v>2371</v>
      </c>
      <c r="Q302" t="s">
        <v>2372</v>
      </c>
      <c r="R302" t="s">
        <v>2373</v>
      </c>
      <c r="S302" t="s">
        <v>2374</v>
      </c>
    </row>
    <row r="303" spans="1:19" x14ac:dyDescent="0.25">
      <c r="A303" t="s">
        <v>2375</v>
      </c>
      <c r="B303" t="s">
        <v>2376</v>
      </c>
      <c r="C303">
        <v>2023</v>
      </c>
      <c r="F303" t="s">
        <v>2377</v>
      </c>
      <c r="H303">
        <v>8</v>
      </c>
      <c r="I303">
        <v>4</v>
      </c>
      <c r="K303" t="s">
        <v>2378</v>
      </c>
      <c r="L303" t="s">
        <v>2379</v>
      </c>
      <c r="Q303" t="s">
        <v>2380</v>
      </c>
      <c r="R303" t="s">
        <v>2381</v>
      </c>
      <c r="S303" t="s">
        <v>2382</v>
      </c>
    </row>
    <row r="304" spans="1:19" x14ac:dyDescent="0.25">
      <c r="A304" t="s">
        <v>2383</v>
      </c>
      <c r="B304" t="s">
        <v>2384</v>
      </c>
      <c r="C304">
        <v>2017</v>
      </c>
      <c r="F304" t="s">
        <v>678</v>
      </c>
      <c r="H304">
        <v>81</v>
      </c>
      <c r="J304" t="s">
        <v>2385</v>
      </c>
      <c r="K304" t="s">
        <v>2386</v>
      </c>
      <c r="L304" t="s">
        <v>2387</v>
      </c>
      <c r="Q304" t="s">
        <v>2388</v>
      </c>
      <c r="R304" t="s">
        <v>2389</v>
      </c>
      <c r="S304" t="s">
        <v>2390</v>
      </c>
    </row>
    <row r="305" spans="1:19" x14ac:dyDescent="0.25">
      <c r="A305" t="s">
        <v>2391</v>
      </c>
      <c r="B305" t="s">
        <v>2392</v>
      </c>
      <c r="C305">
        <v>2013</v>
      </c>
      <c r="F305" t="s">
        <v>2393</v>
      </c>
      <c r="H305">
        <v>19</v>
      </c>
      <c r="I305">
        <v>5</v>
      </c>
      <c r="J305" t="s">
        <v>2394</v>
      </c>
      <c r="K305" t="s">
        <v>2395</v>
      </c>
      <c r="L305" t="s">
        <v>2396</v>
      </c>
      <c r="Q305" t="s">
        <v>2397</v>
      </c>
      <c r="R305" t="s">
        <v>2398</v>
      </c>
      <c r="S305" t="s">
        <v>2399</v>
      </c>
    </row>
    <row r="306" spans="1:19" x14ac:dyDescent="0.25">
      <c r="A306" t="s">
        <v>2400</v>
      </c>
      <c r="B306" t="s">
        <v>2401</v>
      </c>
      <c r="C306">
        <v>2024</v>
      </c>
      <c r="F306" t="s">
        <v>277</v>
      </c>
      <c r="H306">
        <v>53</v>
      </c>
      <c r="I306">
        <v>5</v>
      </c>
      <c r="J306" t="s">
        <v>2402</v>
      </c>
      <c r="K306" t="s">
        <v>2403</v>
      </c>
      <c r="L306" t="s">
        <v>2404</v>
      </c>
      <c r="Q306" t="s">
        <v>2405</v>
      </c>
      <c r="R306" t="s">
        <v>2406</v>
      </c>
      <c r="S306" t="s">
        <v>2407</v>
      </c>
    </row>
    <row r="307" spans="1:19" x14ac:dyDescent="0.25">
      <c r="A307" t="s">
        <v>2408</v>
      </c>
      <c r="B307" t="s">
        <v>2409</v>
      </c>
      <c r="C307">
        <v>2011</v>
      </c>
      <c r="F307" t="s">
        <v>2410</v>
      </c>
      <c r="H307">
        <v>87</v>
      </c>
      <c r="J307" t="s">
        <v>2411</v>
      </c>
      <c r="K307" t="s">
        <v>2412</v>
      </c>
      <c r="L307" t="s">
        <v>2413</v>
      </c>
      <c r="Q307" t="s">
        <v>2414</v>
      </c>
      <c r="R307" t="s">
        <v>2415</v>
      </c>
      <c r="S307" t="s">
        <v>2416</v>
      </c>
    </row>
    <row r="308" spans="1:19" x14ac:dyDescent="0.25">
      <c r="A308" t="s">
        <v>2417</v>
      </c>
      <c r="B308" t="s">
        <v>2418</v>
      </c>
      <c r="C308">
        <v>2024</v>
      </c>
      <c r="F308" t="s">
        <v>1188</v>
      </c>
      <c r="H308">
        <v>253</v>
      </c>
      <c r="K308" t="s">
        <v>2419</v>
      </c>
      <c r="L308" t="s">
        <v>2420</v>
      </c>
      <c r="Q308" t="s">
        <v>2421</v>
      </c>
      <c r="R308" t="s">
        <v>2422</v>
      </c>
      <c r="S308" t="s">
        <v>2423</v>
      </c>
    </row>
    <row r="309" spans="1:19" x14ac:dyDescent="0.25">
      <c r="A309" t="s">
        <v>2424</v>
      </c>
      <c r="B309" t="s">
        <v>2425</v>
      </c>
      <c r="C309">
        <v>2021</v>
      </c>
      <c r="F309" t="s">
        <v>1717</v>
      </c>
      <c r="H309">
        <v>22</v>
      </c>
      <c r="I309">
        <v>4</v>
      </c>
      <c r="J309" t="s">
        <v>2426</v>
      </c>
      <c r="K309" t="s">
        <v>2427</v>
      </c>
      <c r="L309" t="s">
        <v>2428</v>
      </c>
      <c r="Q309" t="s">
        <v>2429</v>
      </c>
      <c r="R309" t="s">
        <v>2430</v>
      </c>
      <c r="S309" t="s">
        <v>2431</v>
      </c>
    </row>
    <row r="310" spans="1:19" x14ac:dyDescent="0.25">
      <c r="A310" t="s">
        <v>2432</v>
      </c>
      <c r="B310" t="s">
        <v>2433</v>
      </c>
      <c r="C310">
        <v>2023</v>
      </c>
      <c r="F310" t="s">
        <v>2434</v>
      </c>
      <c r="H310">
        <v>33</v>
      </c>
      <c r="I310">
        <v>2</v>
      </c>
      <c r="J310" t="s">
        <v>2435</v>
      </c>
      <c r="K310" t="s">
        <v>2436</v>
      </c>
      <c r="L310" t="s">
        <v>2437</v>
      </c>
      <c r="Q310" t="s">
        <v>2438</v>
      </c>
      <c r="R310" t="s">
        <v>2439</v>
      </c>
      <c r="S310" t="s">
        <v>2440</v>
      </c>
    </row>
    <row r="311" spans="1:19" x14ac:dyDescent="0.25">
      <c r="A311" t="s">
        <v>2441</v>
      </c>
      <c r="B311" t="s">
        <v>2442</v>
      </c>
      <c r="C311">
        <v>2016</v>
      </c>
      <c r="F311" t="s">
        <v>678</v>
      </c>
      <c r="H311">
        <v>64</v>
      </c>
      <c r="J311" t="s">
        <v>2443</v>
      </c>
      <c r="K311" t="s">
        <v>2444</v>
      </c>
      <c r="L311" t="s">
        <v>2445</v>
      </c>
      <c r="Q311" t="s">
        <v>2446</v>
      </c>
      <c r="R311" t="s">
        <v>2447</v>
      </c>
      <c r="S311" t="s">
        <v>2448</v>
      </c>
    </row>
    <row r="312" spans="1:19" x14ac:dyDescent="0.25">
      <c r="A312" t="s">
        <v>2449</v>
      </c>
      <c r="B312" t="s">
        <v>2450</v>
      </c>
      <c r="C312">
        <v>2024</v>
      </c>
      <c r="F312" t="s">
        <v>1188</v>
      </c>
      <c r="H312">
        <v>258</v>
      </c>
      <c r="K312" t="s">
        <v>2451</v>
      </c>
      <c r="L312" t="s">
        <v>2452</v>
      </c>
      <c r="Q312" t="s">
        <v>2453</v>
      </c>
      <c r="R312" t="s">
        <v>2454</v>
      </c>
      <c r="S312" t="s">
        <v>2455</v>
      </c>
    </row>
    <row r="313" spans="1:19" x14ac:dyDescent="0.25">
      <c r="A313" t="s">
        <v>2456</v>
      </c>
      <c r="B313" t="s">
        <v>2457</v>
      </c>
      <c r="C313">
        <v>2020</v>
      </c>
      <c r="F313" t="s">
        <v>1368</v>
      </c>
      <c r="H313">
        <v>34</v>
      </c>
      <c r="I313">
        <v>2</v>
      </c>
      <c r="J313" t="s">
        <v>2458</v>
      </c>
      <c r="K313" t="s">
        <v>1337</v>
      </c>
      <c r="L313" t="s">
        <v>2459</v>
      </c>
      <c r="Q313" t="s">
        <v>2123</v>
      </c>
      <c r="R313" t="s">
        <v>2460</v>
      </c>
      <c r="S313" t="s">
        <v>2461</v>
      </c>
    </row>
    <row r="314" spans="1:19" x14ac:dyDescent="0.25">
      <c r="A314" t="s">
        <v>2462</v>
      </c>
      <c r="B314" t="s">
        <v>2463</v>
      </c>
      <c r="C314">
        <v>1997</v>
      </c>
      <c r="F314" t="s">
        <v>1309</v>
      </c>
      <c r="H314">
        <v>54</v>
      </c>
      <c r="I314">
        <v>5</v>
      </c>
      <c r="J314" t="s">
        <v>2464</v>
      </c>
      <c r="K314" t="s">
        <v>2465</v>
      </c>
      <c r="L314" t="s">
        <v>2466</v>
      </c>
      <c r="Q314" t="s">
        <v>2467</v>
      </c>
      <c r="R314" t="s">
        <v>2468</v>
      </c>
      <c r="S314" t="s">
        <v>2469</v>
      </c>
    </row>
    <row r="315" spans="1:19" x14ac:dyDescent="0.25">
      <c r="A315" t="s">
        <v>2470</v>
      </c>
      <c r="B315" t="s">
        <v>2471</v>
      </c>
      <c r="C315">
        <v>2024</v>
      </c>
      <c r="F315" t="s">
        <v>998</v>
      </c>
      <c r="K315" t="s">
        <v>2472</v>
      </c>
      <c r="L315" t="s">
        <v>2473</v>
      </c>
      <c r="Q315" t="s">
        <v>2474</v>
      </c>
      <c r="R315" t="s">
        <v>2475</v>
      </c>
      <c r="S315" t="s">
        <v>2476</v>
      </c>
    </row>
    <row r="316" spans="1:19" x14ac:dyDescent="0.25">
      <c r="A316" t="s">
        <v>2477</v>
      </c>
      <c r="B316" t="s">
        <v>2478</v>
      </c>
      <c r="C316">
        <v>2023</v>
      </c>
      <c r="F316" t="s">
        <v>131</v>
      </c>
      <c r="H316">
        <v>286</v>
      </c>
      <c r="K316" t="s">
        <v>2479</v>
      </c>
      <c r="L316" t="s">
        <v>2480</v>
      </c>
      <c r="Q316" t="s">
        <v>2481</v>
      </c>
      <c r="R316" t="s">
        <v>2482</v>
      </c>
      <c r="S316" t="s">
        <v>2483</v>
      </c>
    </row>
    <row r="317" spans="1:19" x14ac:dyDescent="0.25">
      <c r="A317" t="s">
        <v>2484</v>
      </c>
      <c r="B317" t="s">
        <v>2485</v>
      </c>
      <c r="C317">
        <v>2023</v>
      </c>
      <c r="F317" t="s">
        <v>1309</v>
      </c>
      <c r="H317">
        <v>80</v>
      </c>
      <c r="I317">
        <v>10</v>
      </c>
      <c r="J317" t="s">
        <v>2486</v>
      </c>
      <c r="K317" t="s">
        <v>2487</v>
      </c>
      <c r="L317" t="s">
        <v>2488</v>
      </c>
      <c r="Q317" t="s">
        <v>1534</v>
      </c>
      <c r="R317" t="s">
        <v>2489</v>
      </c>
      <c r="S317" t="s">
        <v>2490</v>
      </c>
    </row>
    <row r="318" spans="1:19" x14ac:dyDescent="0.25">
      <c r="A318" t="s">
        <v>2491</v>
      </c>
      <c r="B318" t="s">
        <v>2492</v>
      </c>
      <c r="C318">
        <v>2010</v>
      </c>
      <c r="F318" t="s">
        <v>678</v>
      </c>
      <c r="H318">
        <v>34</v>
      </c>
      <c r="I318">
        <v>1</v>
      </c>
      <c r="J318" t="s">
        <v>2493</v>
      </c>
      <c r="K318" t="s">
        <v>2494</v>
      </c>
      <c r="L318" t="s">
        <v>2495</v>
      </c>
      <c r="Q318" t="s">
        <v>2496</v>
      </c>
      <c r="R318" t="s">
        <v>2497</v>
      </c>
      <c r="S318" t="s">
        <v>2498</v>
      </c>
    </row>
    <row r="319" spans="1:19" x14ac:dyDescent="0.25">
      <c r="A319" t="s">
        <v>2499</v>
      </c>
      <c r="B319" t="s">
        <v>2500</v>
      </c>
      <c r="C319">
        <v>2023</v>
      </c>
      <c r="F319" t="s">
        <v>2501</v>
      </c>
      <c r="H319">
        <v>36</v>
      </c>
      <c r="I319">
        <v>2</v>
      </c>
      <c r="J319" t="s">
        <v>2502</v>
      </c>
      <c r="K319" t="s">
        <v>2503</v>
      </c>
      <c r="L319" t="s">
        <v>2504</v>
      </c>
      <c r="Q319" t="s">
        <v>2505</v>
      </c>
      <c r="R319" t="s">
        <v>2506</v>
      </c>
    </row>
    <row r="320" spans="1:19" x14ac:dyDescent="0.25">
      <c r="A320" t="s">
        <v>2507</v>
      </c>
      <c r="B320" t="s">
        <v>2508</v>
      </c>
      <c r="C320">
        <v>2020</v>
      </c>
      <c r="F320" t="s">
        <v>1974</v>
      </c>
      <c r="H320">
        <v>30</v>
      </c>
      <c r="I320">
        <v>2</v>
      </c>
      <c r="J320" t="s">
        <v>2509</v>
      </c>
      <c r="K320" t="s">
        <v>2510</v>
      </c>
      <c r="L320" t="s">
        <v>2511</v>
      </c>
      <c r="Q320" t="s">
        <v>2512</v>
      </c>
      <c r="R320" t="s">
        <v>2513</v>
      </c>
      <c r="S320" t="s">
        <v>2514</v>
      </c>
    </row>
    <row r="321" spans="1:19" x14ac:dyDescent="0.25">
      <c r="A321" t="s">
        <v>2515</v>
      </c>
      <c r="B321" t="s">
        <v>2516</v>
      </c>
      <c r="C321">
        <v>2016</v>
      </c>
      <c r="F321" t="s">
        <v>576</v>
      </c>
      <c r="H321">
        <v>53</v>
      </c>
      <c r="I321">
        <v>5</v>
      </c>
      <c r="J321" t="s">
        <v>2517</v>
      </c>
      <c r="K321" t="s">
        <v>2518</v>
      </c>
      <c r="L321" t="s">
        <v>2519</v>
      </c>
      <c r="Q321" t="s">
        <v>2520</v>
      </c>
      <c r="R321" t="s">
        <v>2521</v>
      </c>
      <c r="S321" t="s">
        <v>2522</v>
      </c>
    </row>
    <row r="322" spans="1:19" x14ac:dyDescent="0.25">
      <c r="A322" t="s">
        <v>2523</v>
      </c>
      <c r="B322" t="s">
        <v>2524</v>
      </c>
      <c r="C322">
        <v>2018</v>
      </c>
      <c r="F322" t="s">
        <v>1188</v>
      </c>
      <c r="H322">
        <v>163</v>
      </c>
      <c r="J322" t="s">
        <v>2525</v>
      </c>
      <c r="K322" t="s">
        <v>2526</v>
      </c>
      <c r="L322" t="s">
        <v>2527</v>
      </c>
      <c r="Q322" t="s">
        <v>2528</v>
      </c>
      <c r="R322" t="s">
        <v>2529</v>
      </c>
      <c r="S322" t="s">
        <v>2530</v>
      </c>
    </row>
    <row r="323" spans="1:19" x14ac:dyDescent="0.25">
      <c r="A323" t="s">
        <v>2531</v>
      </c>
      <c r="B323" t="s">
        <v>2532</v>
      </c>
      <c r="C323">
        <v>2009</v>
      </c>
      <c r="F323" t="s">
        <v>2533</v>
      </c>
      <c r="H323">
        <v>2</v>
      </c>
      <c r="J323" t="s">
        <v>2534</v>
      </c>
      <c r="K323" t="s">
        <v>2535</v>
      </c>
      <c r="L323" t="s">
        <v>2536</v>
      </c>
      <c r="Q323" t="s">
        <v>2537</v>
      </c>
      <c r="S323" t="s">
        <v>2538</v>
      </c>
    </row>
    <row r="324" spans="1:19" x14ac:dyDescent="0.25">
      <c r="A324" t="s">
        <v>2539</v>
      </c>
      <c r="B324" t="s">
        <v>2540</v>
      </c>
      <c r="C324">
        <v>2013</v>
      </c>
      <c r="F324" t="s">
        <v>1326</v>
      </c>
      <c r="H324">
        <v>16</v>
      </c>
      <c r="I324">
        <v>12</v>
      </c>
      <c r="J324" t="s">
        <v>2541</v>
      </c>
      <c r="K324" t="s">
        <v>2542</v>
      </c>
      <c r="L324" t="s">
        <v>2543</v>
      </c>
      <c r="Q324" t="s">
        <v>2544</v>
      </c>
      <c r="R324" t="s">
        <v>2545</v>
      </c>
      <c r="S324" t="s">
        <v>2546</v>
      </c>
    </row>
    <row r="325" spans="1:19" x14ac:dyDescent="0.25">
      <c r="A325" t="s">
        <v>2547</v>
      </c>
      <c r="B325" t="s">
        <v>2548</v>
      </c>
      <c r="C325">
        <v>2019</v>
      </c>
      <c r="F325" t="s">
        <v>2549</v>
      </c>
      <c r="H325">
        <v>28</v>
      </c>
      <c r="I325">
        <v>1</v>
      </c>
      <c r="J325" t="s">
        <v>2550</v>
      </c>
      <c r="K325" t="s">
        <v>2551</v>
      </c>
      <c r="L325" t="s">
        <v>2552</v>
      </c>
      <c r="Q325" t="s">
        <v>2553</v>
      </c>
      <c r="R325" t="s">
        <v>2554</v>
      </c>
      <c r="S325" t="s">
        <v>2555</v>
      </c>
    </row>
    <row r="326" spans="1:19" x14ac:dyDescent="0.25">
      <c r="A326" t="s">
        <v>2556</v>
      </c>
      <c r="B326" t="s">
        <v>2557</v>
      </c>
      <c r="C326">
        <v>2020</v>
      </c>
      <c r="F326" t="s">
        <v>223</v>
      </c>
      <c r="H326">
        <v>66</v>
      </c>
      <c r="I326">
        <v>3</v>
      </c>
      <c r="J326" t="s">
        <v>2558</v>
      </c>
      <c r="K326" t="s">
        <v>2559</v>
      </c>
      <c r="L326" t="s">
        <v>2560</v>
      </c>
      <c r="Q326" t="s">
        <v>2561</v>
      </c>
      <c r="R326" t="s">
        <v>2562</v>
      </c>
      <c r="S326" t="s">
        <v>2563</v>
      </c>
    </row>
    <row r="327" spans="1:19" x14ac:dyDescent="0.25">
      <c r="A327" t="s">
        <v>2564</v>
      </c>
      <c r="B327" t="s">
        <v>2565</v>
      </c>
      <c r="C327">
        <v>2024</v>
      </c>
      <c r="F327" t="s">
        <v>315</v>
      </c>
      <c r="H327">
        <v>153</v>
      </c>
      <c r="K327" t="s">
        <v>2566</v>
      </c>
      <c r="L327" t="s">
        <v>2567</v>
      </c>
      <c r="Q327" t="s">
        <v>2568</v>
      </c>
      <c r="R327" t="s">
        <v>2569</v>
      </c>
      <c r="S327" t="s">
        <v>2570</v>
      </c>
    </row>
    <row r="328" spans="1:19" x14ac:dyDescent="0.25">
      <c r="A328" t="s">
        <v>2571</v>
      </c>
      <c r="B328" t="s">
        <v>2572</v>
      </c>
      <c r="C328">
        <v>2013</v>
      </c>
      <c r="F328" t="s">
        <v>1188</v>
      </c>
      <c r="H328">
        <v>85</v>
      </c>
      <c r="J328" t="s">
        <v>2573</v>
      </c>
      <c r="K328" t="s">
        <v>2574</v>
      </c>
      <c r="L328" t="s">
        <v>2575</v>
      </c>
      <c r="Q328" t="s">
        <v>1175</v>
      </c>
      <c r="R328" t="s">
        <v>2576</v>
      </c>
      <c r="S328" t="s">
        <v>2577</v>
      </c>
    </row>
    <row r="329" spans="1:19" x14ac:dyDescent="0.25">
      <c r="A329" t="s">
        <v>2578</v>
      </c>
      <c r="B329" t="s">
        <v>2579</v>
      </c>
      <c r="C329">
        <v>2015</v>
      </c>
      <c r="F329" t="s">
        <v>1188</v>
      </c>
      <c r="H329">
        <v>112</v>
      </c>
      <c r="J329" t="s">
        <v>934</v>
      </c>
      <c r="K329" t="s">
        <v>2580</v>
      </c>
      <c r="L329" t="s">
        <v>2581</v>
      </c>
      <c r="Q329" t="s">
        <v>2582</v>
      </c>
      <c r="R329" t="s">
        <v>2583</v>
      </c>
      <c r="S329" t="s">
        <v>2584</v>
      </c>
    </row>
    <row r="330" spans="1:19" x14ac:dyDescent="0.25">
      <c r="A330" t="s">
        <v>2585</v>
      </c>
      <c r="B330" t="s">
        <v>2586</v>
      </c>
      <c r="C330">
        <v>2014</v>
      </c>
      <c r="F330" t="s">
        <v>410</v>
      </c>
      <c r="H330">
        <v>40</v>
      </c>
      <c r="I330">
        <v>3</v>
      </c>
      <c r="J330" t="s">
        <v>2587</v>
      </c>
      <c r="K330" t="s">
        <v>2588</v>
      </c>
      <c r="L330" t="s">
        <v>2589</v>
      </c>
      <c r="Q330" t="s">
        <v>2590</v>
      </c>
      <c r="R330" t="s">
        <v>2591</v>
      </c>
      <c r="S330" t="s">
        <v>2592</v>
      </c>
    </row>
    <row r="331" spans="1:19" x14ac:dyDescent="0.25">
      <c r="A331" t="s">
        <v>2593</v>
      </c>
      <c r="B331" t="s">
        <v>2594</v>
      </c>
      <c r="C331">
        <v>2011</v>
      </c>
      <c r="F331" t="s">
        <v>223</v>
      </c>
      <c r="H331">
        <v>47</v>
      </c>
      <c r="I331">
        <v>4</v>
      </c>
      <c r="J331" t="s">
        <v>2595</v>
      </c>
      <c r="K331" t="s">
        <v>2596</v>
      </c>
      <c r="L331" t="s">
        <v>2597</v>
      </c>
      <c r="Q331" t="s">
        <v>2598</v>
      </c>
      <c r="R331" t="s">
        <v>2599</v>
      </c>
      <c r="S331" t="s">
        <v>2600</v>
      </c>
    </row>
    <row r="332" spans="1:19" x14ac:dyDescent="0.25">
      <c r="A332" t="s">
        <v>2601</v>
      </c>
      <c r="B332" t="s">
        <v>2602</v>
      </c>
      <c r="C332">
        <v>2021</v>
      </c>
      <c r="F332" t="s">
        <v>116</v>
      </c>
      <c r="H332">
        <v>60</v>
      </c>
      <c r="K332" t="s">
        <v>2603</v>
      </c>
      <c r="L332" t="s">
        <v>2604</v>
      </c>
      <c r="Q332" t="s">
        <v>1558</v>
      </c>
      <c r="R332" t="s">
        <v>2605</v>
      </c>
      <c r="S332" t="s">
        <v>2606</v>
      </c>
    </row>
    <row r="333" spans="1:19" x14ac:dyDescent="0.25">
      <c r="A333" t="s">
        <v>2607</v>
      </c>
      <c r="B333" t="s">
        <v>2608</v>
      </c>
      <c r="C333">
        <v>2017</v>
      </c>
      <c r="F333" t="s">
        <v>2609</v>
      </c>
      <c r="J333" s="2">
        <v>44621</v>
      </c>
      <c r="K333" t="s">
        <v>2610</v>
      </c>
      <c r="L333" t="s">
        <v>2611</v>
      </c>
      <c r="Q333" t="s">
        <v>2612</v>
      </c>
      <c r="S333" t="s">
        <v>2613</v>
      </c>
    </row>
    <row r="334" spans="1:19" x14ac:dyDescent="0.25">
      <c r="A334" t="s">
        <v>2614</v>
      </c>
      <c r="B334" t="s">
        <v>2615</v>
      </c>
      <c r="C334">
        <v>2009</v>
      </c>
      <c r="F334" t="s">
        <v>2616</v>
      </c>
      <c r="H334">
        <v>2</v>
      </c>
      <c r="I334">
        <v>2</v>
      </c>
      <c r="J334" t="s">
        <v>2617</v>
      </c>
      <c r="K334" t="s">
        <v>2618</v>
      </c>
      <c r="L334" t="s">
        <v>2619</v>
      </c>
      <c r="Q334" t="s">
        <v>2620</v>
      </c>
      <c r="S334" t="s">
        <v>2621</v>
      </c>
    </row>
    <row r="335" spans="1:19" x14ac:dyDescent="0.25">
      <c r="A335" t="s">
        <v>2622</v>
      </c>
      <c r="B335" t="s">
        <v>2623</v>
      </c>
      <c r="C335">
        <v>2008</v>
      </c>
      <c r="F335" t="s">
        <v>2624</v>
      </c>
      <c r="H335">
        <v>30</v>
      </c>
      <c r="I335">
        <v>1</v>
      </c>
      <c r="J335" s="1">
        <v>46296</v>
      </c>
      <c r="K335" t="s">
        <v>2625</v>
      </c>
      <c r="L335" t="s">
        <v>2626</v>
      </c>
      <c r="Q335" t="s">
        <v>2627</v>
      </c>
      <c r="R335" t="s">
        <v>2628</v>
      </c>
      <c r="S335" t="s">
        <v>2629</v>
      </c>
    </row>
    <row r="336" spans="1:19" x14ac:dyDescent="0.25">
      <c r="A336" t="s">
        <v>2630</v>
      </c>
      <c r="B336" t="s">
        <v>2631</v>
      </c>
      <c r="C336">
        <v>2020</v>
      </c>
      <c r="F336" t="s">
        <v>2632</v>
      </c>
      <c r="J336" t="s">
        <v>2633</v>
      </c>
      <c r="K336" t="s">
        <v>2634</v>
      </c>
      <c r="L336" t="s">
        <v>2635</v>
      </c>
      <c r="Q336" t="s">
        <v>2505</v>
      </c>
      <c r="S336" t="s">
        <v>2636</v>
      </c>
    </row>
    <row r="337" spans="1:19" x14ac:dyDescent="0.25">
      <c r="A337" t="s">
        <v>2637</v>
      </c>
      <c r="B337" t="s">
        <v>2638</v>
      </c>
      <c r="C337">
        <v>2013</v>
      </c>
      <c r="F337" t="s">
        <v>2639</v>
      </c>
      <c r="J337" s="2">
        <v>44562</v>
      </c>
      <c r="K337" t="s">
        <v>2640</v>
      </c>
      <c r="L337" t="s">
        <v>2641</v>
      </c>
      <c r="Q337" t="s">
        <v>2642</v>
      </c>
      <c r="S337" t="s">
        <v>2643</v>
      </c>
    </row>
    <row r="338" spans="1:19" x14ac:dyDescent="0.25">
      <c r="A338" t="s">
        <v>2644</v>
      </c>
      <c r="B338" t="s">
        <v>2645</v>
      </c>
      <c r="C338">
        <v>2015</v>
      </c>
      <c r="F338" t="s">
        <v>678</v>
      </c>
      <c r="H338">
        <v>59</v>
      </c>
      <c r="J338" t="s">
        <v>2646</v>
      </c>
      <c r="K338" t="s">
        <v>2647</v>
      </c>
      <c r="L338" t="s">
        <v>2648</v>
      </c>
      <c r="Q338" t="s">
        <v>2649</v>
      </c>
      <c r="R338" t="s">
        <v>2650</v>
      </c>
      <c r="S338" t="s">
        <v>2651</v>
      </c>
    </row>
    <row r="339" spans="1:19" x14ac:dyDescent="0.25">
      <c r="A339" t="s">
        <v>2652</v>
      </c>
      <c r="B339" t="s">
        <v>2653</v>
      </c>
      <c r="C339">
        <v>2020</v>
      </c>
      <c r="F339" t="s">
        <v>2632</v>
      </c>
      <c r="J339" t="s">
        <v>2654</v>
      </c>
      <c r="K339" t="s">
        <v>2655</v>
      </c>
      <c r="L339" t="s">
        <v>2656</v>
      </c>
      <c r="Q339" t="s">
        <v>2657</v>
      </c>
      <c r="S339" t="s">
        <v>2636</v>
      </c>
    </row>
    <row r="340" spans="1:19" x14ac:dyDescent="0.25">
      <c r="A340" t="s">
        <v>2658</v>
      </c>
      <c r="B340" t="s">
        <v>2659</v>
      </c>
      <c r="C340">
        <v>2017</v>
      </c>
      <c r="F340" t="s">
        <v>1171</v>
      </c>
      <c r="H340">
        <v>74</v>
      </c>
      <c r="J340" t="s">
        <v>2660</v>
      </c>
      <c r="K340" t="s">
        <v>2661</v>
      </c>
      <c r="L340" t="s">
        <v>2662</v>
      </c>
      <c r="Q340" t="s">
        <v>2224</v>
      </c>
      <c r="R340" t="s">
        <v>2663</v>
      </c>
      <c r="S340" t="s">
        <v>2664</v>
      </c>
    </row>
    <row r="341" spans="1:19" x14ac:dyDescent="0.25">
      <c r="A341" t="s">
        <v>2665</v>
      </c>
      <c r="B341" t="s">
        <v>2666</v>
      </c>
      <c r="C341">
        <v>2016</v>
      </c>
      <c r="F341" t="s">
        <v>678</v>
      </c>
      <c r="H341">
        <v>70</v>
      </c>
      <c r="J341" t="s">
        <v>2667</v>
      </c>
      <c r="K341" t="s">
        <v>2668</v>
      </c>
      <c r="L341" t="s">
        <v>2669</v>
      </c>
      <c r="Q341" t="s">
        <v>2670</v>
      </c>
      <c r="R341" t="s">
        <v>2671</v>
      </c>
      <c r="S341" t="s">
        <v>2672</v>
      </c>
    </row>
    <row r="342" spans="1:19" x14ac:dyDescent="0.25">
      <c r="A342" t="s">
        <v>2673</v>
      </c>
      <c r="B342" t="s">
        <v>2674</v>
      </c>
      <c r="C342">
        <v>2014</v>
      </c>
      <c r="F342" t="s">
        <v>1188</v>
      </c>
      <c r="H342">
        <v>102</v>
      </c>
      <c r="J342" t="s">
        <v>2675</v>
      </c>
      <c r="K342" t="s">
        <v>2676</v>
      </c>
      <c r="L342" t="s">
        <v>2677</v>
      </c>
      <c r="Q342" t="s">
        <v>2678</v>
      </c>
      <c r="R342" t="s">
        <v>2679</v>
      </c>
      <c r="S342" t="s">
        <v>2680</v>
      </c>
    </row>
    <row r="343" spans="1:19" x14ac:dyDescent="0.25">
      <c r="A343" t="s">
        <v>2681</v>
      </c>
      <c r="B343" t="s">
        <v>2682</v>
      </c>
      <c r="C343">
        <v>2019</v>
      </c>
      <c r="F343" t="s">
        <v>2683</v>
      </c>
      <c r="H343">
        <v>374</v>
      </c>
      <c r="I343">
        <v>1781</v>
      </c>
      <c r="K343" t="s">
        <v>2684</v>
      </c>
      <c r="L343" t="s">
        <v>2685</v>
      </c>
      <c r="Q343" t="s">
        <v>2686</v>
      </c>
      <c r="R343" t="s">
        <v>2687</v>
      </c>
      <c r="S343" t="s">
        <v>2688</v>
      </c>
    </row>
    <row r="344" spans="1:19" x14ac:dyDescent="0.25">
      <c r="A344" t="s">
        <v>2689</v>
      </c>
      <c r="B344" t="s">
        <v>2690</v>
      </c>
      <c r="C344">
        <v>2024</v>
      </c>
      <c r="F344" t="s">
        <v>315</v>
      </c>
      <c r="H344">
        <v>162</v>
      </c>
      <c r="K344" t="s">
        <v>2691</v>
      </c>
      <c r="L344" t="s">
        <v>2692</v>
      </c>
      <c r="Q344" t="s">
        <v>2693</v>
      </c>
      <c r="R344" t="s">
        <v>2694</v>
      </c>
      <c r="S344" t="s">
        <v>2695</v>
      </c>
    </row>
    <row r="345" spans="1:19" x14ac:dyDescent="0.25">
      <c r="A345" t="s">
        <v>2696</v>
      </c>
      <c r="B345" t="s">
        <v>2697</v>
      </c>
      <c r="C345">
        <v>2020</v>
      </c>
      <c r="F345" t="s">
        <v>2272</v>
      </c>
      <c r="H345">
        <v>65</v>
      </c>
      <c r="K345" t="s">
        <v>2698</v>
      </c>
      <c r="L345" t="s">
        <v>2699</v>
      </c>
      <c r="Q345" t="s">
        <v>2238</v>
      </c>
      <c r="R345" t="s">
        <v>2700</v>
      </c>
      <c r="S345" t="s">
        <v>2701</v>
      </c>
    </row>
    <row r="346" spans="1:19" x14ac:dyDescent="0.25">
      <c r="A346" t="s">
        <v>2702</v>
      </c>
      <c r="B346" t="s">
        <v>2703</v>
      </c>
      <c r="C346">
        <v>2020</v>
      </c>
      <c r="F346" t="s">
        <v>1539</v>
      </c>
      <c r="H346">
        <v>1</v>
      </c>
      <c r="I346">
        <v>2</v>
      </c>
      <c r="K346" t="s">
        <v>2704</v>
      </c>
      <c r="L346" t="s">
        <v>2705</v>
      </c>
      <c r="Q346" t="s">
        <v>2706</v>
      </c>
      <c r="R346" t="s">
        <v>2707</v>
      </c>
      <c r="S346" t="s">
        <v>2708</v>
      </c>
    </row>
    <row r="347" spans="1:19" x14ac:dyDescent="0.25">
      <c r="A347" t="s">
        <v>2709</v>
      </c>
      <c r="B347" t="s">
        <v>2710</v>
      </c>
      <c r="C347">
        <v>2017</v>
      </c>
      <c r="F347" t="s">
        <v>315</v>
      </c>
      <c r="H347">
        <v>75</v>
      </c>
      <c r="J347" t="s">
        <v>2711</v>
      </c>
      <c r="K347" t="s">
        <v>2444</v>
      </c>
      <c r="L347" t="s">
        <v>2712</v>
      </c>
      <c r="Q347" t="s">
        <v>2713</v>
      </c>
      <c r="R347" t="s">
        <v>2714</v>
      </c>
      <c r="S347" t="s">
        <v>2715</v>
      </c>
    </row>
    <row r="348" spans="1:19" x14ac:dyDescent="0.25">
      <c r="A348" t="s">
        <v>2716</v>
      </c>
      <c r="B348" t="s">
        <v>2717</v>
      </c>
      <c r="C348">
        <v>2021</v>
      </c>
      <c r="F348" t="s">
        <v>131</v>
      </c>
      <c r="H348">
        <v>256</v>
      </c>
      <c r="K348" t="s">
        <v>2718</v>
      </c>
      <c r="L348" t="s">
        <v>2719</v>
      </c>
      <c r="Q348" t="s">
        <v>2720</v>
      </c>
      <c r="R348" t="s">
        <v>2721</v>
      </c>
      <c r="S348" t="s">
        <v>2722</v>
      </c>
    </row>
    <row r="349" spans="1:19" x14ac:dyDescent="0.25">
      <c r="A349" t="s">
        <v>2723</v>
      </c>
      <c r="B349" t="s">
        <v>2724</v>
      </c>
      <c r="C349">
        <v>2018</v>
      </c>
      <c r="F349" t="s">
        <v>2021</v>
      </c>
      <c r="H349">
        <v>3</v>
      </c>
      <c r="I349">
        <v>1</v>
      </c>
      <c r="J349" t="s">
        <v>2725</v>
      </c>
      <c r="K349" t="s">
        <v>2726</v>
      </c>
      <c r="L349" t="s">
        <v>2727</v>
      </c>
      <c r="Q349" t="s">
        <v>2728</v>
      </c>
      <c r="R349" t="s">
        <v>2729</v>
      </c>
      <c r="S349" t="s">
        <v>2730</v>
      </c>
    </row>
    <row r="350" spans="1:19" x14ac:dyDescent="0.25">
      <c r="A350" t="s">
        <v>2731</v>
      </c>
      <c r="B350" t="s">
        <v>2732</v>
      </c>
      <c r="C350">
        <v>2007</v>
      </c>
      <c r="F350" t="s">
        <v>576</v>
      </c>
      <c r="H350">
        <v>44</v>
      </c>
      <c r="J350" t="s">
        <v>2733</v>
      </c>
      <c r="K350" t="s">
        <v>2734</v>
      </c>
      <c r="L350" t="s">
        <v>2735</v>
      </c>
      <c r="Q350" t="s">
        <v>2736</v>
      </c>
      <c r="R350" t="s">
        <v>2737</v>
      </c>
      <c r="S350" t="s">
        <v>2738</v>
      </c>
    </row>
    <row r="351" spans="1:19" x14ac:dyDescent="0.25">
      <c r="A351" t="s">
        <v>2739</v>
      </c>
      <c r="B351" t="s">
        <v>2740</v>
      </c>
      <c r="C351">
        <v>2019</v>
      </c>
      <c r="F351" t="s">
        <v>131</v>
      </c>
      <c r="H351">
        <v>235</v>
      </c>
      <c r="J351" t="s">
        <v>2741</v>
      </c>
      <c r="K351" t="s">
        <v>2742</v>
      </c>
      <c r="L351" t="s">
        <v>2743</v>
      </c>
      <c r="Q351" t="s">
        <v>2744</v>
      </c>
      <c r="R351" t="s">
        <v>2745</v>
      </c>
      <c r="S351" t="s">
        <v>2746</v>
      </c>
    </row>
    <row r="352" spans="1:19" x14ac:dyDescent="0.25">
      <c r="A352" t="s">
        <v>2747</v>
      </c>
      <c r="B352" t="s">
        <v>2748</v>
      </c>
      <c r="C352">
        <v>2020</v>
      </c>
      <c r="F352" t="s">
        <v>2749</v>
      </c>
      <c r="H352">
        <v>68</v>
      </c>
      <c r="J352" t="s">
        <v>2750</v>
      </c>
      <c r="K352" t="s">
        <v>2751</v>
      </c>
      <c r="L352" t="s">
        <v>2752</v>
      </c>
      <c r="Q352" t="s">
        <v>1682</v>
      </c>
      <c r="R352" t="s">
        <v>2753</v>
      </c>
      <c r="S352" t="s">
        <v>2754</v>
      </c>
    </row>
    <row r="353" spans="1:19" x14ac:dyDescent="0.25">
      <c r="A353" t="s">
        <v>2755</v>
      </c>
      <c r="B353" t="s">
        <v>2756</v>
      </c>
      <c r="C353">
        <v>2022</v>
      </c>
      <c r="F353" t="s">
        <v>116</v>
      </c>
      <c r="H353">
        <v>66</v>
      </c>
      <c r="K353" t="s">
        <v>2757</v>
      </c>
      <c r="L353" t="s">
        <v>2758</v>
      </c>
      <c r="Q353" t="s">
        <v>2759</v>
      </c>
      <c r="R353" t="s">
        <v>2760</v>
      </c>
      <c r="S353" t="s">
        <v>2761</v>
      </c>
    </row>
    <row r="354" spans="1:19" x14ac:dyDescent="0.25">
      <c r="A354" t="s">
        <v>2762</v>
      </c>
      <c r="B354" t="s">
        <v>2763</v>
      </c>
      <c r="C354">
        <v>2023</v>
      </c>
      <c r="F354" t="s">
        <v>42</v>
      </c>
      <c r="H354">
        <v>5</v>
      </c>
      <c r="I354">
        <v>5</v>
      </c>
      <c r="J354" t="s">
        <v>2764</v>
      </c>
      <c r="K354" t="s">
        <v>2765</v>
      </c>
      <c r="L354" t="s">
        <v>2766</v>
      </c>
      <c r="Q354" t="s">
        <v>2767</v>
      </c>
      <c r="R354" t="s">
        <v>2768</v>
      </c>
      <c r="S354" t="s">
        <v>2769</v>
      </c>
    </row>
    <row r="355" spans="1:19" x14ac:dyDescent="0.25">
      <c r="A355" t="s">
        <v>2770</v>
      </c>
      <c r="B355" t="s">
        <v>2771</v>
      </c>
      <c r="C355">
        <v>2018</v>
      </c>
      <c r="F355" t="s">
        <v>1139</v>
      </c>
      <c r="H355">
        <v>150</v>
      </c>
      <c r="J355" t="s">
        <v>2772</v>
      </c>
      <c r="K355" t="s">
        <v>2773</v>
      </c>
      <c r="L355" t="s">
        <v>2774</v>
      </c>
      <c r="Q355" t="s">
        <v>1288</v>
      </c>
      <c r="R355" t="s">
        <v>2775</v>
      </c>
      <c r="S355" t="s">
        <v>2776</v>
      </c>
    </row>
    <row r="356" spans="1:19" x14ac:dyDescent="0.25">
      <c r="A356" t="s">
        <v>2777</v>
      </c>
      <c r="B356" t="s">
        <v>2778</v>
      </c>
      <c r="C356">
        <v>2024</v>
      </c>
      <c r="F356" t="s">
        <v>395</v>
      </c>
      <c r="H356">
        <v>365</v>
      </c>
      <c r="K356" t="s">
        <v>2779</v>
      </c>
      <c r="L356" t="s">
        <v>2780</v>
      </c>
      <c r="Q356" t="s">
        <v>2781</v>
      </c>
      <c r="R356" t="s">
        <v>2782</v>
      </c>
      <c r="S356" t="s">
        <v>2783</v>
      </c>
    </row>
    <row r="357" spans="1:19" x14ac:dyDescent="0.25">
      <c r="A357" t="s">
        <v>2784</v>
      </c>
      <c r="B357" t="s">
        <v>2785</v>
      </c>
      <c r="C357">
        <v>2021</v>
      </c>
      <c r="F357" t="s">
        <v>1292</v>
      </c>
      <c r="H357">
        <v>13</v>
      </c>
      <c r="I357">
        <v>3</v>
      </c>
      <c r="J357" s="2">
        <v>46753</v>
      </c>
      <c r="K357" t="s">
        <v>2786</v>
      </c>
      <c r="L357" t="s">
        <v>2787</v>
      </c>
      <c r="Q357" t="s">
        <v>2788</v>
      </c>
      <c r="R357" t="s">
        <v>2789</v>
      </c>
      <c r="S357" t="s">
        <v>2790</v>
      </c>
    </row>
    <row r="358" spans="1:19" x14ac:dyDescent="0.25">
      <c r="A358" t="s">
        <v>2791</v>
      </c>
      <c r="B358" t="s">
        <v>2792</v>
      </c>
      <c r="C358">
        <v>2016</v>
      </c>
      <c r="F358" t="s">
        <v>2793</v>
      </c>
      <c r="J358">
        <v>1</v>
      </c>
      <c r="K358" t="s">
        <v>2794</v>
      </c>
      <c r="L358" t="s">
        <v>2795</v>
      </c>
      <c r="Q358" t="s">
        <v>2796</v>
      </c>
    </row>
    <row r="359" spans="1:19" x14ac:dyDescent="0.25">
      <c r="A359" t="s">
        <v>2797</v>
      </c>
      <c r="B359" t="s">
        <v>2798</v>
      </c>
      <c r="C359">
        <v>2021</v>
      </c>
      <c r="F359" t="s">
        <v>2799</v>
      </c>
      <c r="H359">
        <v>9</v>
      </c>
      <c r="K359" t="s">
        <v>2800</v>
      </c>
      <c r="L359" t="s">
        <v>2801</v>
      </c>
      <c r="Q359" t="s">
        <v>2802</v>
      </c>
      <c r="R359" t="s">
        <v>2803</v>
      </c>
      <c r="S359" t="s">
        <v>2804</v>
      </c>
    </row>
    <row r="360" spans="1:19" x14ac:dyDescent="0.25">
      <c r="A360" t="s">
        <v>2805</v>
      </c>
      <c r="B360" t="s">
        <v>2806</v>
      </c>
      <c r="C360">
        <v>2017</v>
      </c>
      <c r="F360" t="s">
        <v>1717</v>
      </c>
      <c r="H360">
        <v>18</v>
      </c>
      <c r="I360">
        <v>4</v>
      </c>
      <c r="J360" t="s">
        <v>2807</v>
      </c>
      <c r="K360" t="s">
        <v>2808</v>
      </c>
      <c r="L360" t="s">
        <v>2809</v>
      </c>
      <c r="Q360" t="s">
        <v>2810</v>
      </c>
      <c r="R360" t="s">
        <v>2811</v>
      </c>
      <c r="S360" t="s">
        <v>2812</v>
      </c>
    </row>
    <row r="361" spans="1:19" x14ac:dyDescent="0.25">
      <c r="A361" t="s">
        <v>2813</v>
      </c>
      <c r="B361" t="s">
        <v>2814</v>
      </c>
      <c r="C361">
        <v>2023</v>
      </c>
      <c r="F361" t="s">
        <v>315</v>
      </c>
      <c r="H361">
        <v>140</v>
      </c>
      <c r="J361" t="s">
        <v>2815</v>
      </c>
      <c r="K361" t="s">
        <v>2816</v>
      </c>
      <c r="L361" t="s">
        <v>2817</v>
      </c>
      <c r="Q361" t="s">
        <v>2818</v>
      </c>
      <c r="R361" t="s">
        <v>2819</v>
      </c>
      <c r="S361" t="s">
        <v>2820</v>
      </c>
    </row>
    <row r="362" spans="1:19" x14ac:dyDescent="0.25">
      <c r="A362" t="s">
        <v>2821</v>
      </c>
      <c r="B362" t="s">
        <v>2822</v>
      </c>
      <c r="C362">
        <v>2023</v>
      </c>
      <c r="F362" t="s">
        <v>2823</v>
      </c>
      <c r="H362">
        <v>6</v>
      </c>
      <c r="I362">
        <v>7</v>
      </c>
      <c r="J362" t="s">
        <v>2824</v>
      </c>
      <c r="K362" t="s">
        <v>2825</v>
      </c>
      <c r="L362" t="s">
        <v>2826</v>
      </c>
      <c r="Q362" t="s">
        <v>2827</v>
      </c>
      <c r="R362" t="s">
        <v>2828</v>
      </c>
      <c r="S362" t="s">
        <v>2829</v>
      </c>
    </row>
    <row r="363" spans="1:19" x14ac:dyDescent="0.25">
      <c r="A363" t="s">
        <v>2830</v>
      </c>
      <c r="B363" t="s">
        <v>2831</v>
      </c>
      <c r="C363">
        <v>2018</v>
      </c>
      <c r="F363" t="s">
        <v>2832</v>
      </c>
      <c r="J363" t="s">
        <v>2833</v>
      </c>
      <c r="K363" t="s">
        <v>2834</v>
      </c>
      <c r="L363" t="s">
        <v>2835</v>
      </c>
      <c r="Q363" t="s">
        <v>2836</v>
      </c>
      <c r="S363" t="s">
        <v>2837</v>
      </c>
    </row>
    <row r="364" spans="1:19" x14ac:dyDescent="0.25">
      <c r="A364" t="s">
        <v>2838</v>
      </c>
      <c r="B364" t="s">
        <v>2839</v>
      </c>
      <c r="C364">
        <v>2024</v>
      </c>
      <c r="F364" t="s">
        <v>1833</v>
      </c>
      <c r="K364" t="s">
        <v>2840</v>
      </c>
      <c r="L364" t="s">
        <v>2841</v>
      </c>
      <c r="Q364" t="s">
        <v>1183</v>
      </c>
      <c r="R364" t="s">
        <v>2842</v>
      </c>
      <c r="S364" t="s">
        <v>2843</v>
      </c>
    </row>
    <row r="365" spans="1:19" x14ac:dyDescent="0.25">
      <c r="A365" t="s">
        <v>2844</v>
      </c>
      <c r="B365" t="s">
        <v>2845</v>
      </c>
      <c r="C365">
        <v>2019</v>
      </c>
      <c r="F365" t="s">
        <v>131</v>
      </c>
      <c r="H365">
        <v>240</v>
      </c>
      <c r="K365" t="s">
        <v>2846</v>
      </c>
      <c r="L365" t="s">
        <v>2847</v>
      </c>
      <c r="Q365" t="s">
        <v>2848</v>
      </c>
      <c r="R365" t="s">
        <v>2849</v>
      </c>
      <c r="S365" t="s">
        <v>2850</v>
      </c>
    </row>
    <row r="366" spans="1:19" x14ac:dyDescent="0.25">
      <c r="A366" t="s">
        <v>2851</v>
      </c>
      <c r="B366" t="s">
        <v>2852</v>
      </c>
      <c r="C366">
        <v>2017</v>
      </c>
      <c r="F366" t="s">
        <v>1031</v>
      </c>
      <c r="H366">
        <v>125</v>
      </c>
      <c r="I366">
        <v>1</v>
      </c>
      <c r="J366" s="1">
        <v>46082</v>
      </c>
      <c r="K366" t="s">
        <v>2853</v>
      </c>
      <c r="L366" t="s">
        <v>2854</v>
      </c>
      <c r="Q366" t="s">
        <v>1635</v>
      </c>
      <c r="R366" t="s">
        <v>2855</v>
      </c>
      <c r="S366" t="s">
        <v>2856</v>
      </c>
    </row>
    <row r="367" spans="1:19" x14ac:dyDescent="0.25">
      <c r="A367" t="s">
        <v>2857</v>
      </c>
      <c r="B367" t="s">
        <v>2858</v>
      </c>
      <c r="C367">
        <v>2010</v>
      </c>
      <c r="F367" t="s">
        <v>293</v>
      </c>
      <c r="H367">
        <v>15</v>
      </c>
      <c r="I367">
        <v>2</v>
      </c>
      <c r="J367" t="s">
        <v>2859</v>
      </c>
      <c r="K367" t="s">
        <v>2860</v>
      </c>
      <c r="L367" t="s">
        <v>2861</v>
      </c>
      <c r="Q367" t="s">
        <v>2862</v>
      </c>
      <c r="R367" t="s">
        <v>2863</v>
      </c>
      <c r="S367" t="s">
        <v>2864</v>
      </c>
    </row>
    <row r="368" spans="1:19" x14ac:dyDescent="0.25">
      <c r="A368" t="s">
        <v>2865</v>
      </c>
      <c r="B368" t="s">
        <v>2866</v>
      </c>
      <c r="C368">
        <v>2023</v>
      </c>
      <c r="F368" t="s">
        <v>1171</v>
      </c>
      <c r="H368">
        <v>80</v>
      </c>
      <c r="I368">
        <v>2</v>
      </c>
      <c r="J368" t="s">
        <v>2867</v>
      </c>
      <c r="K368" t="s">
        <v>2868</v>
      </c>
      <c r="L368" t="s">
        <v>2869</v>
      </c>
      <c r="Q368" t="s">
        <v>2870</v>
      </c>
      <c r="R368" t="s">
        <v>2871</v>
      </c>
      <c r="S368" t="s">
        <v>2872</v>
      </c>
    </row>
    <row r="369" spans="1:19" x14ac:dyDescent="0.25">
      <c r="A369" t="s">
        <v>2873</v>
      </c>
      <c r="B369" t="s">
        <v>2874</v>
      </c>
      <c r="C369">
        <v>2020</v>
      </c>
      <c r="F369" t="s">
        <v>1188</v>
      </c>
      <c r="H369">
        <v>198</v>
      </c>
      <c r="K369" t="s">
        <v>2875</v>
      </c>
      <c r="L369" t="s">
        <v>2876</v>
      </c>
      <c r="Q369" t="s">
        <v>2877</v>
      </c>
      <c r="R369" t="s">
        <v>2878</v>
      </c>
      <c r="S369" t="s">
        <v>2879</v>
      </c>
    </row>
    <row r="370" spans="1:19" x14ac:dyDescent="0.25">
      <c r="A370" t="s">
        <v>2880</v>
      </c>
      <c r="B370" t="s">
        <v>2881</v>
      </c>
      <c r="C370">
        <v>2003</v>
      </c>
      <c r="F370" t="s">
        <v>116</v>
      </c>
      <c r="H370">
        <v>11</v>
      </c>
      <c r="I370">
        <v>2</v>
      </c>
      <c r="J370" t="s">
        <v>2882</v>
      </c>
      <c r="K370" t="s">
        <v>2883</v>
      </c>
      <c r="L370" t="s">
        <v>2884</v>
      </c>
      <c r="Q370" t="s">
        <v>2885</v>
      </c>
      <c r="R370" t="s">
        <v>2886</v>
      </c>
      <c r="S370" t="s">
        <v>2887</v>
      </c>
    </row>
    <row r="371" spans="1:19" x14ac:dyDescent="0.25">
      <c r="A371" t="s">
        <v>2888</v>
      </c>
      <c r="B371" t="s">
        <v>2889</v>
      </c>
      <c r="C371">
        <v>2012</v>
      </c>
      <c r="F371" t="s">
        <v>2890</v>
      </c>
      <c r="H371">
        <v>152</v>
      </c>
      <c r="J371" t="s">
        <v>2891</v>
      </c>
      <c r="K371" t="s">
        <v>2892</v>
      </c>
      <c r="L371" t="s">
        <v>2893</v>
      </c>
      <c r="Q371" t="s">
        <v>2894</v>
      </c>
      <c r="R371" t="s">
        <v>2895</v>
      </c>
      <c r="S371" t="s">
        <v>2896</v>
      </c>
    </row>
    <row r="372" spans="1:19" x14ac:dyDescent="0.25">
      <c r="A372" t="s">
        <v>2897</v>
      </c>
      <c r="B372" t="s">
        <v>2898</v>
      </c>
      <c r="C372">
        <v>2020</v>
      </c>
      <c r="F372" t="s">
        <v>2021</v>
      </c>
      <c r="H372">
        <v>5</v>
      </c>
      <c r="I372">
        <v>1</v>
      </c>
      <c r="J372" t="s">
        <v>2899</v>
      </c>
      <c r="K372" t="s">
        <v>2900</v>
      </c>
      <c r="L372" t="s">
        <v>2901</v>
      </c>
      <c r="Q372" t="s">
        <v>2902</v>
      </c>
      <c r="R372" t="s">
        <v>2903</v>
      </c>
      <c r="S372" t="s">
        <v>2904</v>
      </c>
    </row>
    <row r="373" spans="1:19" x14ac:dyDescent="0.25">
      <c r="A373" t="s">
        <v>2905</v>
      </c>
      <c r="B373" t="s">
        <v>2906</v>
      </c>
      <c r="C373">
        <v>2011</v>
      </c>
      <c r="F373" t="s">
        <v>223</v>
      </c>
      <c r="H373">
        <v>48</v>
      </c>
      <c r="I373">
        <v>4</v>
      </c>
      <c r="J373" t="s">
        <v>2907</v>
      </c>
      <c r="K373" t="s">
        <v>2908</v>
      </c>
      <c r="L373" t="s">
        <v>2909</v>
      </c>
      <c r="Q373" t="s">
        <v>2910</v>
      </c>
      <c r="R373" t="s">
        <v>2911</v>
      </c>
      <c r="S373" t="s">
        <v>2912</v>
      </c>
    </row>
    <row r="374" spans="1:19" x14ac:dyDescent="0.25">
      <c r="A374" t="s">
        <v>2913</v>
      </c>
      <c r="B374" t="s">
        <v>2914</v>
      </c>
      <c r="C374">
        <v>2019</v>
      </c>
      <c r="F374" t="s">
        <v>315</v>
      </c>
      <c r="H374">
        <v>91</v>
      </c>
      <c r="J374" t="s">
        <v>2915</v>
      </c>
      <c r="K374" t="s">
        <v>2916</v>
      </c>
      <c r="L374" t="s">
        <v>2917</v>
      </c>
      <c r="Q374" t="s">
        <v>2918</v>
      </c>
      <c r="R374" t="s">
        <v>2919</v>
      </c>
      <c r="S374" t="s">
        <v>2920</v>
      </c>
    </row>
    <row r="375" spans="1:19" x14ac:dyDescent="0.25">
      <c r="A375" t="s">
        <v>2921</v>
      </c>
      <c r="B375" t="s">
        <v>2922</v>
      </c>
      <c r="C375">
        <v>2016</v>
      </c>
      <c r="F375" t="s">
        <v>998</v>
      </c>
      <c r="H375">
        <v>26</v>
      </c>
      <c r="I375">
        <v>6</v>
      </c>
      <c r="J375" t="s">
        <v>2923</v>
      </c>
      <c r="K375" t="s">
        <v>2924</v>
      </c>
      <c r="L375" t="s">
        <v>2925</v>
      </c>
      <c r="Q375" t="s">
        <v>2926</v>
      </c>
      <c r="R375" t="s">
        <v>2927</v>
      </c>
      <c r="S375" t="s">
        <v>2928</v>
      </c>
    </row>
    <row r="376" spans="1:19" x14ac:dyDescent="0.25">
      <c r="A376" t="s">
        <v>2929</v>
      </c>
      <c r="B376" t="s">
        <v>2930</v>
      </c>
      <c r="C376">
        <v>2020</v>
      </c>
      <c r="F376" t="s">
        <v>223</v>
      </c>
      <c r="H376">
        <v>66</v>
      </c>
      <c r="I376">
        <v>6</v>
      </c>
      <c r="J376" t="s">
        <v>2931</v>
      </c>
      <c r="K376" t="s">
        <v>2932</v>
      </c>
      <c r="L376" t="s">
        <v>2933</v>
      </c>
      <c r="Q376" t="s">
        <v>2934</v>
      </c>
      <c r="R376" t="s">
        <v>2935</v>
      </c>
      <c r="S376" t="s">
        <v>2936</v>
      </c>
    </row>
    <row r="377" spans="1:19" x14ac:dyDescent="0.25">
      <c r="A377" t="s">
        <v>2937</v>
      </c>
      <c r="B377" t="s">
        <v>2938</v>
      </c>
      <c r="C377">
        <v>2023</v>
      </c>
      <c r="F377" t="s">
        <v>131</v>
      </c>
      <c r="H377">
        <v>278</v>
      </c>
      <c r="K377" t="s">
        <v>2939</v>
      </c>
      <c r="L377" t="s">
        <v>2940</v>
      </c>
      <c r="Q377" t="s">
        <v>2941</v>
      </c>
      <c r="R377" t="s">
        <v>2942</v>
      </c>
      <c r="S377" t="s">
        <v>2943</v>
      </c>
    </row>
    <row r="378" spans="1:19" x14ac:dyDescent="0.25">
      <c r="A378" t="s">
        <v>2944</v>
      </c>
      <c r="B378" t="s">
        <v>2945</v>
      </c>
      <c r="C378">
        <v>2023</v>
      </c>
      <c r="F378" t="s">
        <v>1309</v>
      </c>
      <c r="H378">
        <v>80</v>
      </c>
      <c r="I378">
        <v>7</v>
      </c>
      <c r="J378" t="s">
        <v>2946</v>
      </c>
      <c r="K378" t="s">
        <v>2947</v>
      </c>
      <c r="L378" t="s">
        <v>2948</v>
      </c>
      <c r="Q378" t="s">
        <v>2949</v>
      </c>
      <c r="R378" t="s">
        <v>2950</v>
      </c>
      <c r="S378" t="s">
        <v>2951</v>
      </c>
    </row>
    <row r="379" spans="1:19" x14ac:dyDescent="0.25">
      <c r="A379" t="s">
        <v>2952</v>
      </c>
      <c r="B379" t="s">
        <v>2953</v>
      </c>
      <c r="C379">
        <v>2010</v>
      </c>
      <c r="F379" t="s">
        <v>2954</v>
      </c>
      <c r="H379">
        <v>2</v>
      </c>
      <c r="I379">
        <v>1</v>
      </c>
      <c r="J379" t="s">
        <v>2955</v>
      </c>
      <c r="K379" t="s">
        <v>2956</v>
      </c>
      <c r="L379" t="s">
        <v>2957</v>
      </c>
      <c r="Q379" t="s">
        <v>2958</v>
      </c>
      <c r="R379" t="s">
        <v>2959</v>
      </c>
    </row>
    <row r="380" spans="1:19" x14ac:dyDescent="0.25">
      <c r="A380" t="s">
        <v>2960</v>
      </c>
      <c r="B380" t="s">
        <v>2961</v>
      </c>
      <c r="C380">
        <v>2009</v>
      </c>
      <c r="F380" t="s">
        <v>1833</v>
      </c>
      <c r="H380">
        <v>24</v>
      </c>
      <c r="I380">
        <v>5</v>
      </c>
      <c r="J380" t="s">
        <v>2962</v>
      </c>
      <c r="K380" t="s">
        <v>2963</v>
      </c>
      <c r="L380" t="s">
        <v>2964</v>
      </c>
      <c r="Q380" t="s">
        <v>2965</v>
      </c>
      <c r="R380" t="s">
        <v>2966</v>
      </c>
      <c r="S380" t="s">
        <v>2967</v>
      </c>
    </row>
    <row r="381" spans="1:19" x14ac:dyDescent="0.25">
      <c r="A381" t="s">
        <v>2968</v>
      </c>
      <c r="B381" t="s">
        <v>2969</v>
      </c>
      <c r="C381">
        <v>2021</v>
      </c>
      <c r="F381" t="s">
        <v>42</v>
      </c>
      <c r="H381">
        <v>3</v>
      </c>
      <c r="I381">
        <v>5</v>
      </c>
      <c r="J381" t="s">
        <v>2970</v>
      </c>
      <c r="K381" t="s">
        <v>2971</v>
      </c>
      <c r="L381" t="s">
        <v>2972</v>
      </c>
      <c r="Q381" t="s">
        <v>2973</v>
      </c>
      <c r="R381" t="s">
        <v>2974</v>
      </c>
    </row>
    <row r="382" spans="1:19" x14ac:dyDescent="0.25">
      <c r="A382" t="s">
        <v>2975</v>
      </c>
      <c r="B382" t="s">
        <v>2976</v>
      </c>
      <c r="C382">
        <v>2017</v>
      </c>
      <c r="F382" t="s">
        <v>131</v>
      </c>
      <c r="H382">
        <v>209</v>
      </c>
      <c r="J382" t="s">
        <v>2977</v>
      </c>
      <c r="K382" t="s">
        <v>2978</v>
      </c>
      <c r="L382" t="s">
        <v>2979</v>
      </c>
      <c r="Q382" t="s">
        <v>2980</v>
      </c>
      <c r="R382" t="s">
        <v>2981</v>
      </c>
      <c r="S382" t="s">
        <v>2982</v>
      </c>
    </row>
    <row r="383" spans="1:19" x14ac:dyDescent="0.25">
      <c r="A383" t="s">
        <v>2983</v>
      </c>
      <c r="B383" t="s">
        <v>2984</v>
      </c>
      <c r="C383">
        <v>2008</v>
      </c>
      <c r="F383" t="s">
        <v>2985</v>
      </c>
      <c r="J383" t="s">
        <v>2986</v>
      </c>
      <c r="K383" t="s">
        <v>2987</v>
      </c>
      <c r="L383" t="s">
        <v>2988</v>
      </c>
      <c r="Q383" t="s">
        <v>2989</v>
      </c>
    </row>
    <row r="384" spans="1:19" x14ac:dyDescent="0.25">
      <c r="A384" t="s">
        <v>2990</v>
      </c>
      <c r="B384" t="s">
        <v>2991</v>
      </c>
      <c r="C384">
        <v>2012</v>
      </c>
      <c r="F384" t="s">
        <v>2992</v>
      </c>
      <c r="H384">
        <v>53</v>
      </c>
      <c r="I384">
        <v>1</v>
      </c>
      <c r="J384" s="1">
        <v>46367</v>
      </c>
      <c r="K384" t="s">
        <v>2993</v>
      </c>
      <c r="L384" t="s">
        <v>2994</v>
      </c>
      <c r="Q384" t="s">
        <v>2050</v>
      </c>
      <c r="S384" t="s">
        <v>2995</v>
      </c>
    </row>
    <row r="385" spans="1:19" x14ac:dyDescent="0.25">
      <c r="A385" t="s">
        <v>2996</v>
      </c>
      <c r="B385" t="s">
        <v>2997</v>
      </c>
      <c r="C385">
        <v>2001</v>
      </c>
      <c r="F385" t="s">
        <v>1414</v>
      </c>
      <c r="H385">
        <v>7</v>
      </c>
      <c r="J385" t="s">
        <v>2998</v>
      </c>
      <c r="K385" t="s">
        <v>2999</v>
      </c>
      <c r="L385" t="s">
        <v>3000</v>
      </c>
      <c r="Q385" t="s">
        <v>3001</v>
      </c>
      <c r="R385" t="s">
        <v>3002</v>
      </c>
      <c r="S385" t="s">
        <v>3003</v>
      </c>
    </row>
    <row r="386" spans="1:19" x14ac:dyDescent="0.25">
      <c r="A386" t="s">
        <v>3004</v>
      </c>
      <c r="B386" t="s">
        <v>3005</v>
      </c>
      <c r="C386">
        <v>2018</v>
      </c>
      <c r="F386" t="s">
        <v>3006</v>
      </c>
      <c r="H386">
        <v>116</v>
      </c>
      <c r="I386">
        <v>4</v>
      </c>
      <c r="J386" t="s">
        <v>3007</v>
      </c>
      <c r="K386" t="s">
        <v>3008</v>
      </c>
      <c r="L386" t="s">
        <v>3009</v>
      </c>
      <c r="Q386" t="s">
        <v>3010</v>
      </c>
      <c r="R386" t="s">
        <v>3011</v>
      </c>
      <c r="S386" t="s">
        <v>3012</v>
      </c>
    </row>
    <row r="387" spans="1:19" x14ac:dyDescent="0.25">
      <c r="A387" t="s">
        <v>3013</v>
      </c>
      <c r="B387" t="s">
        <v>3014</v>
      </c>
      <c r="C387">
        <v>2009</v>
      </c>
      <c r="F387" t="s">
        <v>131</v>
      </c>
      <c r="H387">
        <v>142</v>
      </c>
      <c r="I387">
        <v>7</v>
      </c>
      <c r="J387" t="s">
        <v>3015</v>
      </c>
      <c r="K387" t="s">
        <v>3016</v>
      </c>
      <c r="L387" t="s">
        <v>3017</v>
      </c>
      <c r="Q387" t="s">
        <v>3018</v>
      </c>
      <c r="R387" t="s">
        <v>3019</v>
      </c>
      <c r="S387" t="s">
        <v>3020</v>
      </c>
    </row>
    <row r="388" spans="1:19" x14ac:dyDescent="0.25">
      <c r="A388" t="s">
        <v>3021</v>
      </c>
      <c r="B388" t="s">
        <v>3022</v>
      </c>
      <c r="C388">
        <v>2020</v>
      </c>
      <c r="F388" t="s">
        <v>678</v>
      </c>
      <c r="H388">
        <v>115</v>
      </c>
      <c r="K388" t="s">
        <v>3023</v>
      </c>
      <c r="L388" t="s">
        <v>3024</v>
      </c>
      <c r="Q388" t="s">
        <v>3025</v>
      </c>
      <c r="R388" t="s">
        <v>3026</v>
      </c>
      <c r="S388" t="s">
        <v>3027</v>
      </c>
    </row>
    <row r="389" spans="1:19" x14ac:dyDescent="0.25">
      <c r="A389" t="s">
        <v>3028</v>
      </c>
      <c r="B389" t="s">
        <v>3029</v>
      </c>
      <c r="C389">
        <v>2012</v>
      </c>
      <c r="F389" t="s">
        <v>395</v>
      </c>
      <c r="H389">
        <v>113</v>
      </c>
      <c r="J389" t="s">
        <v>3030</v>
      </c>
      <c r="K389" t="s">
        <v>3031</v>
      </c>
      <c r="L389" t="s">
        <v>3032</v>
      </c>
      <c r="Q389" t="s">
        <v>3033</v>
      </c>
      <c r="R389" t="s">
        <v>3034</v>
      </c>
      <c r="S389" t="s">
        <v>3035</v>
      </c>
    </row>
    <row r="390" spans="1:19" x14ac:dyDescent="0.25">
      <c r="A390" t="s">
        <v>3036</v>
      </c>
      <c r="B390" t="s">
        <v>3037</v>
      </c>
      <c r="C390">
        <v>2005</v>
      </c>
      <c r="F390" t="s">
        <v>1368</v>
      </c>
      <c r="H390">
        <v>19</v>
      </c>
      <c r="I390">
        <v>6</v>
      </c>
      <c r="J390" t="s">
        <v>3038</v>
      </c>
      <c r="K390" t="s">
        <v>2883</v>
      </c>
      <c r="L390" t="s">
        <v>3039</v>
      </c>
      <c r="Q390" t="s">
        <v>3040</v>
      </c>
      <c r="R390" t="s">
        <v>3041</v>
      </c>
      <c r="S390" t="s">
        <v>3042</v>
      </c>
    </row>
    <row r="391" spans="1:19" x14ac:dyDescent="0.25">
      <c r="A391" t="s">
        <v>3043</v>
      </c>
      <c r="B391" t="s">
        <v>3044</v>
      </c>
      <c r="C391">
        <v>2024</v>
      </c>
      <c r="F391" t="s">
        <v>371</v>
      </c>
      <c r="H391">
        <v>6</v>
      </c>
      <c r="I391">
        <v>10</v>
      </c>
      <c r="K391" t="s">
        <v>3045</v>
      </c>
      <c r="L391" t="s">
        <v>3046</v>
      </c>
      <c r="Q391" t="s">
        <v>3047</v>
      </c>
      <c r="R391" t="s">
        <v>3048</v>
      </c>
      <c r="S391" t="s">
        <v>3049</v>
      </c>
    </row>
    <row r="392" spans="1:19" x14ac:dyDescent="0.25">
      <c r="A392" t="s">
        <v>3050</v>
      </c>
      <c r="B392" t="s">
        <v>3051</v>
      </c>
      <c r="C392">
        <v>2003</v>
      </c>
      <c r="F392" t="s">
        <v>3052</v>
      </c>
      <c r="H392">
        <v>37</v>
      </c>
      <c r="I392">
        <v>1</v>
      </c>
      <c r="J392" t="s">
        <v>3053</v>
      </c>
      <c r="K392" t="s">
        <v>3054</v>
      </c>
      <c r="L392" t="s">
        <v>3055</v>
      </c>
      <c r="Q392" t="s">
        <v>3056</v>
      </c>
      <c r="R392" t="s">
        <v>3057</v>
      </c>
      <c r="S392" t="s">
        <v>3058</v>
      </c>
    </row>
    <row r="393" spans="1:19" x14ac:dyDescent="0.25">
      <c r="A393" t="s">
        <v>3059</v>
      </c>
      <c r="B393" t="s">
        <v>3060</v>
      </c>
      <c r="C393">
        <v>2023</v>
      </c>
      <c r="F393" t="s">
        <v>378</v>
      </c>
      <c r="H393">
        <v>23</v>
      </c>
      <c r="I393">
        <v>1</v>
      </c>
      <c r="K393" t="s">
        <v>3061</v>
      </c>
      <c r="L393" t="s">
        <v>3062</v>
      </c>
      <c r="Q393" t="s">
        <v>3063</v>
      </c>
      <c r="R393" t="s">
        <v>3064</v>
      </c>
      <c r="S393" t="s">
        <v>3065</v>
      </c>
    </row>
    <row r="394" spans="1:19" x14ac:dyDescent="0.25">
      <c r="A394" t="s">
        <v>3066</v>
      </c>
      <c r="B394" t="s">
        <v>3067</v>
      </c>
      <c r="C394">
        <v>2013</v>
      </c>
      <c r="F394" t="s">
        <v>2434</v>
      </c>
      <c r="H394">
        <v>23</v>
      </c>
      <c r="I394">
        <v>4</v>
      </c>
      <c r="J394" t="s">
        <v>3068</v>
      </c>
      <c r="K394" t="s">
        <v>3069</v>
      </c>
      <c r="L394" t="s">
        <v>3070</v>
      </c>
      <c r="Q394" t="s">
        <v>3071</v>
      </c>
      <c r="R394" t="s">
        <v>3072</v>
      </c>
      <c r="S394" t="s">
        <v>3073</v>
      </c>
    </row>
    <row r="395" spans="1:19" x14ac:dyDescent="0.25">
      <c r="A395" t="s">
        <v>3074</v>
      </c>
      <c r="B395" t="s">
        <v>3075</v>
      </c>
      <c r="C395">
        <v>2021</v>
      </c>
      <c r="F395" t="s">
        <v>1368</v>
      </c>
      <c r="H395">
        <v>35</v>
      </c>
      <c r="I395">
        <v>6</v>
      </c>
      <c r="J395" t="s">
        <v>3076</v>
      </c>
      <c r="K395" t="s">
        <v>3077</v>
      </c>
      <c r="L395" t="s">
        <v>3078</v>
      </c>
      <c r="Q395" t="s">
        <v>3079</v>
      </c>
      <c r="R395" t="s">
        <v>3080</v>
      </c>
      <c r="S395" t="s">
        <v>3081</v>
      </c>
    </row>
    <row r="396" spans="1:19" x14ac:dyDescent="0.25">
      <c r="A396" t="s">
        <v>3082</v>
      </c>
      <c r="B396" t="s">
        <v>3083</v>
      </c>
      <c r="C396">
        <v>2017</v>
      </c>
      <c r="F396" t="s">
        <v>131</v>
      </c>
      <c r="H396">
        <v>208</v>
      </c>
      <c r="J396" t="s">
        <v>3084</v>
      </c>
      <c r="K396" t="s">
        <v>3085</v>
      </c>
      <c r="L396" t="s">
        <v>3086</v>
      </c>
      <c r="Q396" t="s">
        <v>3087</v>
      </c>
      <c r="R396" t="s">
        <v>3088</v>
      </c>
      <c r="S396" t="s">
        <v>3089</v>
      </c>
    </row>
    <row r="397" spans="1:19" x14ac:dyDescent="0.25">
      <c r="A397" t="s">
        <v>3090</v>
      </c>
      <c r="B397" t="s">
        <v>3091</v>
      </c>
      <c r="C397">
        <v>2016</v>
      </c>
      <c r="F397" t="s">
        <v>3092</v>
      </c>
      <c r="H397">
        <v>112</v>
      </c>
      <c r="I397">
        <v>11</v>
      </c>
      <c r="K397" t="s">
        <v>3093</v>
      </c>
      <c r="L397" t="s">
        <v>3094</v>
      </c>
      <c r="Q397" t="s">
        <v>3095</v>
      </c>
      <c r="R397" t="s">
        <v>3096</v>
      </c>
      <c r="S397" t="s">
        <v>3097</v>
      </c>
    </row>
    <row r="398" spans="1:19" x14ac:dyDescent="0.25">
      <c r="A398" t="s">
        <v>3098</v>
      </c>
      <c r="B398" t="s">
        <v>3099</v>
      </c>
      <c r="C398">
        <v>2020</v>
      </c>
      <c r="F398" t="s">
        <v>131</v>
      </c>
      <c r="H398">
        <v>249</v>
      </c>
      <c r="K398" t="s">
        <v>3100</v>
      </c>
      <c r="L398" t="s">
        <v>3101</v>
      </c>
      <c r="Q398" t="s">
        <v>3102</v>
      </c>
      <c r="R398" t="s">
        <v>3103</v>
      </c>
      <c r="S398" t="s">
        <v>3104</v>
      </c>
    </row>
    <row r="399" spans="1:19" x14ac:dyDescent="0.25">
      <c r="A399" t="s">
        <v>3105</v>
      </c>
      <c r="B399" t="s">
        <v>3106</v>
      </c>
      <c r="C399">
        <v>2014</v>
      </c>
      <c r="F399" t="s">
        <v>576</v>
      </c>
      <c r="H399">
        <v>51</v>
      </c>
      <c r="I399">
        <v>1</v>
      </c>
      <c r="J399" t="s">
        <v>3107</v>
      </c>
      <c r="K399" t="s">
        <v>3108</v>
      </c>
      <c r="L399" t="s">
        <v>3109</v>
      </c>
      <c r="Q399" t="s">
        <v>3110</v>
      </c>
      <c r="R399" t="s">
        <v>3111</v>
      </c>
      <c r="S399" t="s">
        <v>3112</v>
      </c>
    </row>
    <row r="400" spans="1:19" x14ac:dyDescent="0.25">
      <c r="A400" t="s">
        <v>3113</v>
      </c>
      <c r="B400" t="s">
        <v>3114</v>
      </c>
      <c r="C400">
        <v>2016</v>
      </c>
      <c r="F400" t="s">
        <v>1891</v>
      </c>
      <c r="H400">
        <v>9</v>
      </c>
      <c r="I400">
        <v>5</v>
      </c>
      <c r="J400" t="s">
        <v>3115</v>
      </c>
      <c r="K400" t="s">
        <v>3116</v>
      </c>
      <c r="L400" t="s">
        <v>3117</v>
      </c>
      <c r="Q400" t="s">
        <v>3118</v>
      </c>
      <c r="R400" t="s">
        <v>3119</v>
      </c>
      <c r="S400" t="s">
        <v>3120</v>
      </c>
    </row>
    <row r="401" spans="1:19" x14ac:dyDescent="0.25">
      <c r="A401" t="s">
        <v>3121</v>
      </c>
      <c r="B401" t="s">
        <v>3122</v>
      </c>
      <c r="C401">
        <v>2024</v>
      </c>
      <c r="F401" t="s">
        <v>315</v>
      </c>
      <c r="H401">
        <v>161</v>
      </c>
      <c r="K401" t="s">
        <v>3123</v>
      </c>
      <c r="L401" t="s">
        <v>3124</v>
      </c>
      <c r="Q401" t="s">
        <v>3125</v>
      </c>
      <c r="R401" t="s">
        <v>3126</v>
      </c>
      <c r="S401" t="s">
        <v>3127</v>
      </c>
    </row>
    <row r="402" spans="1:19" x14ac:dyDescent="0.25">
      <c r="A402" t="s">
        <v>3128</v>
      </c>
      <c r="B402" t="s">
        <v>3129</v>
      </c>
      <c r="C402">
        <v>2019</v>
      </c>
      <c r="F402" t="s">
        <v>58</v>
      </c>
      <c r="H402">
        <v>6</v>
      </c>
      <c r="K402" t="s">
        <v>3130</v>
      </c>
      <c r="L402" t="s">
        <v>3131</v>
      </c>
      <c r="Q402" t="s">
        <v>3132</v>
      </c>
      <c r="R402" t="s">
        <v>3133</v>
      </c>
      <c r="S402" t="s">
        <v>3134</v>
      </c>
    </row>
    <row r="403" spans="1:19" x14ac:dyDescent="0.25">
      <c r="A403" t="s">
        <v>3135</v>
      </c>
      <c r="B403" t="s">
        <v>3136</v>
      </c>
      <c r="C403">
        <v>2024</v>
      </c>
      <c r="F403" t="s">
        <v>1031</v>
      </c>
      <c r="H403">
        <v>202</v>
      </c>
      <c r="K403" t="s">
        <v>3137</v>
      </c>
      <c r="L403" t="s">
        <v>3138</v>
      </c>
      <c r="Q403" t="s">
        <v>3139</v>
      </c>
      <c r="R403" t="s">
        <v>3140</v>
      </c>
      <c r="S403" t="s">
        <v>3141</v>
      </c>
    </row>
    <row r="404" spans="1:19" x14ac:dyDescent="0.25">
      <c r="A404" t="s">
        <v>3142</v>
      </c>
      <c r="B404" t="s">
        <v>3143</v>
      </c>
      <c r="C404">
        <v>2014</v>
      </c>
      <c r="F404" t="s">
        <v>3144</v>
      </c>
      <c r="H404">
        <v>38</v>
      </c>
      <c r="I404">
        <v>4</v>
      </c>
      <c r="J404" t="s">
        <v>3145</v>
      </c>
      <c r="K404" t="s">
        <v>3146</v>
      </c>
      <c r="L404" t="s">
        <v>3147</v>
      </c>
      <c r="Q404" t="s">
        <v>3148</v>
      </c>
      <c r="R404" t="s">
        <v>3149</v>
      </c>
      <c r="S404" t="s">
        <v>3150</v>
      </c>
    </row>
    <row r="405" spans="1:19" x14ac:dyDescent="0.25">
      <c r="A405" t="s">
        <v>3151</v>
      </c>
      <c r="B405" t="s">
        <v>3152</v>
      </c>
      <c r="C405">
        <v>2014</v>
      </c>
      <c r="F405" t="s">
        <v>3153</v>
      </c>
      <c r="H405">
        <v>48</v>
      </c>
      <c r="I405">
        <v>1</v>
      </c>
      <c r="J405" t="s">
        <v>3154</v>
      </c>
      <c r="K405" t="s">
        <v>3155</v>
      </c>
      <c r="L405" t="s">
        <v>3156</v>
      </c>
      <c r="Q405" t="s">
        <v>3157</v>
      </c>
      <c r="R405" t="s">
        <v>3158</v>
      </c>
      <c r="S405" t="s">
        <v>3159</v>
      </c>
    </row>
    <row r="406" spans="1:19" x14ac:dyDescent="0.25">
      <c r="A406" t="s">
        <v>3160</v>
      </c>
      <c r="B406" t="s">
        <v>3161</v>
      </c>
      <c r="C406">
        <v>2023</v>
      </c>
      <c r="F406" t="s">
        <v>1539</v>
      </c>
      <c r="H406">
        <v>4</v>
      </c>
      <c r="I406">
        <v>3</v>
      </c>
      <c r="K406" t="s">
        <v>3162</v>
      </c>
      <c r="L406" t="s">
        <v>3163</v>
      </c>
      <c r="Q406" t="s">
        <v>2224</v>
      </c>
      <c r="R406" t="s">
        <v>3164</v>
      </c>
      <c r="S406" t="s">
        <v>3165</v>
      </c>
    </row>
    <row r="407" spans="1:19" x14ac:dyDescent="0.25">
      <c r="A407" t="s">
        <v>3166</v>
      </c>
      <c r="B407" t="s">
        <v>3167</v>
      </c>
      <c r="C407">
        <v>2014</v>
      </c>
      <c r="F407" t="s">
        <v>1833</v>
      </c>
      <c r="H407">
        <v>29</v>
      </c>
      <c r="I407">
        <v>11</v>
      </c>
      <c r="J407" t="s">
        <v>3168</v>
      </c>
      <c r="K407" t="s">
        <v>3169</v>
      </c>
      <c r="L407" t="s">
        <v>3170</v>
      </c>
      <c r="Q407" t="s">
        <v>3171</v>
      </c>
      <c r="R407" t="s">
        <v>3172</v>
      </c>
      <c r="S407" t="s">
        <v>3173</v>
      </c>
    </row>
    <row r="408" spans="1:19" x14ac:dyDescent="0.25">
      <c r="A408" t="s">
        <v>3174</v>
      </c>
      <c r="B408" t="s">
        <v>3175</v>
      </c>
      <c r="C408">
        <v>2024</v>
      </c>
      <c r="F408" t="s">
        <v>1197</v>
      </c>
      <c r="H408">
        <v>49</v>
      </c>
      <c r="I408">
        <v>7</v>
      </c>
      <c r="J408" t="s">
        <v>3176</v>
      </c>
      <c r="K408" t="s">
        <v>3177</v>
      </c>
      <c r="L408" t="s">
        <v>3178</v>
      </c>
      <c r="Q408" t="s">
        <v>3179</v>
      </c>
      <c r="R408" t="s">
        <v>3180</v>
      </c>
    </row>
    <row r="409" spans="1:19" x14ac:dyDescent="0.25">
      <c r="A409" t="s">
        <v>3181</v>
      </c>
      <c r="B409" t="s">
        <v>3182</v>
      </c>
      <c r="C409">
        <v>2014</v>
      </c>
      <c r="F409" t="s">
        <v>315</v>
      </c>
      <c r="H409">
        <v>39</v>
      </c>
      <c r="J409" t="s">
        <v>3183</v>
      </c>
      <c r="K409" t="s">
        <v>3184</v>
      </c>
      <c r="L409" t="s">
        <v>3185</v>
      </c>
      <c r="Q409" t="s">
        <v>3186</v>
      </c>
      <c r="R409" t="s">
        <v>3187</v>
      </c>
      <c r="S409" t="s">
        <v>3188</v>
      </c>
    </row>
    <row r="410" spans="1:19" x14ac:dyDescent="0.25">
      <c r="A410" t="s">
        <v>3189</v>
      </c>
      <c r="B410" t="s">
        <v>3190</v>
      </c>
      <c r="C410">
        <v>2004</v>
      </c>
      <c r="F410" t="s">
        <v>131</v>
      </c>
      <c r="H410">
        <v>119</v>
      </c>
      <c r="I410">
        <v>2</v>
      </c>
      <c r="J410" t="s">
        <v>3191</v>
      </c>
      <c r="K410" t="s">
        <v>3192</v>
      </c>
      <c r="L410" t="s">
        <v>3193</v>
      </c>
      <c r="Q410" t="s">
        <v>3194</v>
      </c>
      <c r="R410" t="s">
        <v>3195</v>
      </c>
      <c r="S410" t="s">
        <v>3196</v>
      </c>
    </row>
    <row r="411" spans="1:19" x14ac:dyDescent="0.25">
      <c r="A411" t="s">
        <v>3197</v>
      </c>
      <c r="B411" t="s">
        <v>3198</v>
      </c>
      <c r="C411">
        <v>2014</v>
      </c>
      <c r="F411" t="s">
        <v>277</v>
      </c>
      <c r="H411">
        <v>43</v>
      </c>
      <c r="I411">
        <v>7</v>
      </c>
      <c r="J411" t="s">
        <v>3199</v>
      </c>
      <c r="K411" t="s">
        <v>3200</v>
      </c>
      <c r="L411" t="s">
        <v>3201</v>
      </c>
      <c r="Q411" t="s">
        <v>3202</v>
      </c>
      <c r="R411" t="s">
        <v>3203</v>
      </c>
      <c r="S411" t="s">
        <v>3204</v>
      </c>
    </row>
    <row r="412" spans="1:19" x14ac:dyDescent="0.25">
      <c r="A412" t="s">
        <v>3205</v>
      </c>
      <c r="B412" t="s">
        <v>3206</v>
      </c>
      <c r="C412">
        <v>2024</v>
      </c>
      <c r="F412" t="s">
        <v>277</v>
      </c>
      <c r="H412">
        <v>53</v>
      </c>
      <c r="I412">
        <v>6</v>
      </c>
      <c r="J412" t="s">
        <v>3207</v>
      </c>
      <c r="K412" t="s">
        <v>3208</v>
      </c>
      <c r="L412" t="s">
        <v>3209</v>
      </c>
      <c r="Q412" t="s">
        <v>2335</v>
      </c>
      <c r="R412" t="s">
        <v>3210</v>
      </c>
      <c r="S412" t="s">
        <v>3211</v>
      </c>
    </row>
    <row r="413" spans="1:19" x14ac:dyDescent="0.25">
      <c r="A413" t="s">
        <v>3212</v>
      </c>
      <c r="B413" t="s">
        <v>3213</v>
      </c>
      <c r="C413">
        <v>2015</v>
      </c>
      <c r="F413" t="s">
        <v>678</v>
      </c>
      <c r="H413">
        <v>52</v>
      </c>
      <c r="J413" t="s">
        <v>3214</v>
      </c>
      <c r="K413" t="s">
        <v>3215</v>
      </c>
      <c r="L413" t="s">
        <v>3216</v>
      </c>
      <c r="Q413" t="s">
        <v>3217</v>
      </c>
      <c r="R413" t="s">
        <v>3218</v>
      </c>
      <c r="S413" t="s">
        <v>3219</v>
      </c>
    </row>
    <row r="414" spans="1:19" x14ac:dyDescent="0.25">
      <c r="A414" t="s">
        <v>3220</v>
      </c>
      <c r="B414" t="s">
        <v>3221</v>
      </c>
      <c r="C414">
        <v>2017</v>
      </c>
      <c r="F414" t="s">
        <v>1998</v>
      </c>
      <c r="H414">
        <v>5</v>
      </c>
      <c r="I414">
        <v>1</v>
      </c>
      <c r="K414" t="s">
        <v>3222</v>
      </c>
      <c r="L414" t="s">
        <v>3223</v>
      </c>
      <c r="Q414" t="s">
        <v>3224</v>
      </c>
      <c r="R414" t="s">
        <v>3225</v>
      </c>
      <c r="S414" t="s">
        <v>3226</v>
      </c>
    </row>
    <row r="415" spans="1:19" x14ac:dyDescent="0.25">
      <c r="A415" t="s">
        <v>3227</v>
      </c>
      <c r="B415" t="s">
        <v>3228</v>
      </c>
      <c r="C415">
        <v>2019</v>
      </c>
      <c r="F415" t="s">
        <v>58</v>
      </c>
      <c r="H415">
        <v>6</v>
      </c>
      <c r="K415" t="s">
        <v>3229</v>
      </c>
      <c r="L415" t="s">
        <v>3230</v>
      </c>
      <c r="Q415" t="s">
        <v>3231</v>
      </c>
      <c r="R415" t="s">
        <v>3232</v>
      </c>
      <c r="S415" t="s">
        <v>3233</v>
      </c>
    </row>
    <row r="416" spans="1:19" x14ac:dyDescent="0.25">
      <c r="A416" t="s">
        <v>3234</v>
      </c>
      <c r="B416" t="s">
        <v>3235</v>
      </c>
      <c r="C416">
        <v>2021</v>
      </c>
      <c r="F416" t="s">
        <v>678</v>
      </c>
      <c r="H416">
        <v>128</v>
      </c>
      <c r="K416" t="s">
        <v>3236</v>
      </c>
      <c r="L416" t="s">
        <v>3237</v>
      </c>
      <c r="Q416" t="s">
        <v>3238</v>
      </c>
      <c r="R416" t="s">
        <v>3239</v>
      </c>
      <c r="S416" t="s">
        <v>3240</v>
      </c>
    </row>
    <row r="417" spans="1:19" x14ac:dyDescent="0.25">
      <c r="A417" t="s">
        <v>3241</v>
      </c>
      <c r="B417" t="s">
        <v>3242</v>
      </c>
      <c r="C417">
        <v>2017</v>
      </c>
      <c r="F417" t="s">
        <v>223</v>
      </c>
      <c r="H417">
        <v>60</v>
      </c>
      <c r="I417">
        <v>6</v>
      </c>
      <c r="J417" t="s">
        <v>3243</v>
      </c>
      <c r="K417" t="s">
        <v>3244</v>
      </c>
      <c r="L417" t="s">
        <v>3245</v>
      </c>
      <c r="Q417" t="s">
        <v>2254</v>
      </c>
      <c r="R417" t="s">
        <v>3246</v>
      </c>
      <c r="S417" t="s">
        <v>3247</v>
      </c>
    </row>
    <row r="418" spans="1:19" x14ac:dyDescent="0.25">
      <c r="A418" t="s">
        <v>3248</v>
      </c>
      <c r="B418" t="s">
        <v>3249</v>
      </c>
      <c r="C418">
        <v>2020</v>
      </c>
      <c r="F418" t="s">
        <v>131</v>
      </c>
      <c r="H418">
        <v>248</v>
      </c>
      <c r="K418" t="s">
        <v>3250</v>
      </c>
      <c r="L418" t="s">
        <v>3251</v>
      </c>
      <c r="Q418" t="s">
        <v>3252</v>
      </c>
      <c r="R418" t="s">
        <v>3253</v>
      </c>
      <c r="S418" t="s">
        <v>3254</v>
      </c>
    </row>
    <row r="419" spans="1:19" x14ac:dyDescent="0.25">
      <c r="A419" t="s">
        <v>3255</v>
      </c>
      <c r="B419" t="s">
        <v>3256</v>
      </c>
      <c r="C419">
        <v>2018</v>
      </c>
      <c r="F419" t="s">
        <v>3257</v>
      </c>
      <c r="H419">
        <v>16</v>
      </c>
      <c r="I419">
        <v>4</v>
      </c>
      <c r="J419" t="s">
        <v>3258</v>
      </c>
      <c r="K419" t="s">
        <v>3259</v>
      </c>
      <c r="L419" t="s">
        <v>3260</v>
      </c>
      <c r="Q419" t="s">
        <v>3261</v>
      </c>
      <c r="R419" t="s">
        <v>3262</v>
      </c>
      <c r="S419" t="s">
        <v>3263</v>
      </c>
    </row>
    <row r="420" spans="1:19" x14ac:dyDescent="0.25">
      <c r="A420" t="s">
        <v>3264</v>
      </c>
      <c r="B420" t="s">
        <v>3265</v>
      </c>
      <c r="C420">
        <v>2013</v>
      </c>
      <c r="F420" t="s">
        <v>3266</v>
      </c>
      <c r="H420">
        <v>20</v>
      </c>
      <c r="I420">
        <v>2</v>
      </c>
      <c r="J420" t="s">
        <v>3267</v>
      </c>
      <c r="K420" t="s">
        <v>3268</v>
      </c>
      <c r="L420" t="s">
        <v>3269</v>
      </c>
      <c r="Q420" t="s">
        <v>3270</v>
      </c>
      <c r="R420" t="s">
        <v>3271</v>
      </c>
      <c r="S420" t="s">
        <v>3272</v>
      </c>
    </row>
    <row r="421" spans="1:19" x14ac:dyDescent="0.25">
      <c r="A421" t="s">
        <v>3273</v>
      </c>
      <c r="B421" t="s">
        <v>3274</v>
      </c>
      <c r="C421">
        <v>2021</v>
      </c>
      <c r="F421" t="s">
        <v>131</v>
      </c>
      <c r="H421">
        <v>256</v>
      </c>
      <c r="K421" t="s">
        <v>3275</v>
      </c>
      <c r="L421" t="s">
        <v>3276</v>
      </c>
      <c r="Q421" t="s">
        <v>1934</v>
      </c>
      <c r="R421" t="s">
        <v>3277</v>
      </c>
      <c r="S421" t="s">
        <v>3278</v>
      </c>
    </row>
    <row r="422" spans="1:19" x14ac:dyDescent="0.25">
      <c r="A422" t="s">
        <v>3279</v>
      </c>
      <c r="B422" t="s">
        <v>3280</v>
      </c>
      <c r="C422">
        <v>2023</v>
      </c>
      <c r="F422" t="s">
        <v>1368</v>
      </c>
      <c r="H422">
        <v>37</v>
      </c>
      <c r="I422">
        <v>1</v>
      </c>
      <c r="K422" t="s">
        <v>3281</v>
      </c>
      <c r="L422" t="s">
        <v>3282</v>
      </c>
      <c r="Q422" t="s">
        <v>2877</v>
      </c>
      <c r="R422" t="s">
        <v>3283</v>
      </c>
      <c r="S422" t="s">
        <v>3284</v>
      </c>
    </row>
    <row r="423" spans="1:19" x14ac:dyDescent="0.25">
      <c r="A423" t="s">
        <v>3285</v>
      </c>
      <c r="B423" t="s">
        <v>3286</v>
      </c>
      <c r="C423">
        <v>2019</v>
      </c>
      <c r="F423" t="s">
        <v>1352</v>
      </c>
      <c r="H423">
        <v>46</v>
      </c>
      <c r="I423">
        <v>3</v>
      </c>
      <c r="J423" t="s">
        <v>3287</v>
      </c>
      <c r="K423" t="s">
        <v>3288</v>
      </c>
      <c r="L423" t="s">
        <v>3289</v>
      </c>
      <c r="Q423" t="s">
        <v>3290</v>
      </c>
      <c r="R423" t="s">
        <v>3291</v>
      </c>
      <c r="S423" t="s">
        <v>3292</v>
      </c>
    </row>
    <row r="424" spans="1:19" x14ac:dyDescent="0.25">
      <c r="A424" t="s">
        <v>3293</v>
      </c>
      <c r="B424" t="s">
        <v>3294</v>
      </c>
      <c r="C424">
        <v>2022</v>
      </c>
      <c r="F424" t="s">
        <v>1491</v>
      </c>
      <c r="H424">
        <v>3</v>
      </c>
      <c r="K424" t="s">
        <v>3295</v>
      </c>
      <c r="L424" t="s">
        <v>3296</v>
      </c>
      <c r="Q424" t="s">
        <v>3297</v>
      </c>
      <c r="R424" t="s">
        <v>3298</v>
      </c>
      <c r="S424" t="s">
        <v>3299</v>
      </c>
    </row>
    <row r="425" spans="1:19" x14ac:dyDescent="0.25">
      <c r="A425" t="s">
        <v>3300</v>
      </c>
      <c r="B425" t="s">
        <v>3301</v>
      </c>
      <c r="C425">
        <v>2022</v>
      </c>
      <c r="F425" t="s">
        <v>1188</v>
      </c>
      <c r="H425">
        <v>225</v>
      </c>
      <c r="K425" t="s">
        <v>3302</v>
      </c>
      <c r="L425" t="s">
        <v>3303</v>
      </c>
      <c r="Q425" t="s">
        <v>3304</v>
      </c>
      <c r="R425" t="s">
        <v>3305</v>
      </c>
      <c r="S425" t="s">
        <v>3306</v>
      </c>
    </row>
    <row r="426" spans="1:19" x14ac:dyDescent="0.25">
      <c r="A426" t="s">
        <v>3307</v>
      </c>
      <c r="B426" t="s">
        <v>3308</v>
      </c>
      <c r="C426">
        <v>2012</v>
      </c>
      <c r="F426" t="s">
        <v>3309</v>
      </c>
      <c r="H426">
        <v>34</v>
      </c>
      <c r="I426">
        <v>4</v>
      </c>
      <c r="J426" s="1">
        <v>46300</v>
      </c>
      <c r="K426" t="s">
        <v>3310</v>
      </c>
      <c r="L426" t="s">
        <v>3311</v>
      </c>
      <c r="Q426" t="s">
        <v>3312</v>
      </c>
      <c r="R426" t="s">
        <v>3313</v>
      </c>
      <c r="S426" t="s">
        <v>3314</v>
      </c>
    </row>
    <row r="427" spans="1:19" x14ac:dyDescent="0.25">
      <c r="A427" t="s">
        <v>3315</v>
      </c>
      <c r="B427" t="s">
        <v>3316</v>
      </c>
      <c r="C427">
        <v>2016</v>
      </c>
      <c r="F427" t="s">
        <v>140</v>
      </c>
      <c r="H427">
        <v>21</v>
      </c>
      <c r="I427">
        <v>2</v>
      </c>
      <c r="K427" t="s">
        <v>2939</v>
      </c>
      <c r="L427" t="s">
        <v>3317</v>
      </c>
      <c r="Q427" t="s">
        <v>3318</v>
      </c>
      <c r="R427" t="s">
        <v>3319</v>
      </c>
      <c r="S427" t="s">
        <v>3320</v>
      </c>
    </row>
    <row r="428" spans="1:19" x14ac:dyDescent="0.25">
      <c r="A428" t="s">
        <v>3321</v>
      </c>
      <c r="B428" t="s">
        <v>3322</v>
      </c>
      <c r="C428">
        <v>1997</v>
      </c>
      <c r="F428" t="s">
        <v>3323</v>
      </c>
      <c r="I428">
        <v>415</v>
      </c>
      <c r="K428" t="s">
        <v>3324</v>
      </c>
      <c r="L428" t="s">
        <v>3325</v>
      </c>
      <c r="Q428" t="s">
        <v>3326</v>
      </c>
      <c r="S428" t="s">
        <v>3327</v>
      </c>
    </row>
    <row r="429" spans="1:19" x14ac:dyDescent="0.25">
      <c r="A429" t="s">
        <v>3328</v>
      </c>
      <c r="B429" t="s">
        <v>3329</v>
      </c>
      <c r="C429">
        <v>2012</v>
      </c>
      <c r="F429" t="s">
        <v>1197</v>
      </c>
      <c r="H429">
        <v>37</v>
      </c>
      <c r="I429">
        <v>7</v>
      </c>
      <c r="J429" t="s">
        <v>3330</v>
      </c>
      <c r="K429" t="s">
        <v>3331</v>
      </c>
      <c r="L429" t="s">
        <v>3332</v>
      </c>
      <c r="Q429" t="s">
        <v>3333</v>
      </c>
      <c r="S429" t="s">
        <v>3334</v>
      </c>
    </row>
    <row r="430" spans="1:19" x14ac:dyDescent="0.25">
      <c r="A430" t="s">
        <v>3335</v>
      </c>
      <c r="B430" t="s">
        <v>3336</v>
      </c>
      <c r="C430">
        <v>2021</v>
      </c>
      <c r="F430" t="s">
        <v>419</v>
      </c>
      <c r="H430">
        <v>775</v>
      </c>
      <c r="K430" t="s">
        <v>3337</v>
      </c>
      <c r="L430" t="s">
        <v>3338</v>
      </c>
      <c r="Q430" t="s">
        <v>3339</v>
      </c>
      <c r="R430" t="s">
        <v>3340</v>
      </c>
      <c r="S430" t="s">
        <v>3341</v>
      </c>
    </row>
    <row r="431" spans="1:19" x14ac:dyDescent="0.25">
      <c r="A431" t="s">
        <v>3342</v>
      </c>
      <c r="B431" t="s">
        <v>3343</v>
      </c>
      <c r="C431">
        <v>2022</v>
      </c>
      <c r="F431" t="s">
        <v>1368</v>
      </c>
      <c r="H431">
        <v>36</v>
      </c>
      <c r="I431">
        <v>3</v>
      </c>
      <c r="K431" t="s">
        <v>3344</v>
      </c>
      <c r="L431" t="s">
        <v>3345</v>
      </c>
      <c r="Q431" t="s">
        <v>3346</v>
      </c>
      <c r="R431" t="s">
        <v>3347</v>
      </c>
      <c r="S431" t="s">
        <v>3348</v>
      </c>
    </row>
    <row r="432" spans="1:19" x14ac:dyDescent="0.25">
      <c r="A432" t="s">
        <v>3349</v>
      </c>
      <c r="B432" t="s">
        <v>3350</v>
      </c>
      <c r="C432">
        <v>2022</v>
      </c>
      <c r="F432" t="s">
        <v>3351</v>
      </c>
      <c r="J432" t="s">
        <v>3352</v>
      </c>
      <c r="K432" t="s">
        <v>3353</v>
      </c>
      <c r="L432" t="s">
        <v>3354</v>
      </c>
      <c r="Q432" t="s">
        <v>2474</v>
      </c>
    </row>
    <row r="433" spans="1:19" x14ac:dyDescent="0.25">
      <c r="A433" t="s">
        <v>3355</v>
      </c>
      <c r="B433" t="s">
        <v>3356</v>
      </c>
      <c r="C433">
        <v>2012</v>
      </c>
      <c r="F433" t="s">
        <v>2272</v>
      </c>
      <c r="H433">
        <v>22</v>
      </c>
      <c r="I433">
        <v>1</v>
      </c>
      <c r="J433" t="s">
        <v>3357</v>
      </c>
      <c r="K433" t="s">
        <v>3358</v>
      </c>
      <c r="L433" t="s">
        <v>3359</v>
      </c>
      <c r="Q433" t="s">
        <v>3360</v>
      </c>
      <c r="R433" t="s">
        <v>3361</v>
      </c>
      <c r="S433" t="s">
        <v>3362</v>
      </c>
    </row>
    <row r="434" spans="1:19" x14ac:dyDescent="0.25">
      <c r="A434" t="s">
        <v>3363</v>
      </c>
      <c r="B434" t="s">
        <v>3364</v>
      </c>
      <c r="C434">
        <v>2013</v>
      </c>
      <c r="F434" t="s">
        <v>2393</v>
      </c>
      <c r="H434">
        <v>19</v>
      </c>
      <c r="I434">
        <v>5</v>
      </c>
      <c r="J434" t="s">
        <v>3365</v>
      </c>
      <c r="K434" t="s">
        <v>3366</v>
      </c>
      <c r="L434" t="s">
        <v>3367</v>
      </c>
      <c r="Q434" t="s">
        <v>3368</v>
      </c>
      <c r="R434" t="s">
        <v>3369</v>
      </c>
      <c r="S434" t="s">
        <v>3370</v>
      </c>
    </row>
    <row r="435" spans="1:19" x14ac:dyDescent="0.25">
      <c r="A435" t="s">
        <v>3371</v>
      </c>
      <c r="B435" t="s">
        <v>3372</v>
      </c>
      <c r="C435">
        <v>2016</v>
      </c>
      <c r="F435" t="s">
        <v>3373</v>
      </c>
      <c r="H435">
        <v>5</v>
      </c>
      <c r="I435">
        <v>1</v>
      </c>
      <c r="K435" t="s">
        <v>3374</v>
      </c>
      <c r="L435" t="s">
        <v>3375</v>
      </c>
      <c r="Q435" t="s">
        <v>3376</v>
      </c>
      <c r="R435" t="s">
        <v>3377</v>
      </c>
      <c r="S435" t="s">
        <v>3378</v>
      </c>
    </row>
    <row r="436" spans="1:19" x14ac:dyDescent="0.25">
      <c r="A436" t="s">
        <v>3379</v>
      </c>
      <c r="B436" t="s">
        <v>3380</v>
      </c>
      <c r="C436">
        <v>2013</v>
      </c>
      <c r="F436" t="s">
        <v>1368</v>
      </c>
      <c r="H436">
        <v>27</v>
      </c>
      <c r="I436">
        <v>4</v>
      </c>
      <c r="J436" t="s">
        <v>3381</v>
      </c>
      <c r="K436" t="s">
        <v>3382</v>
      </c>
      <c r="L436" t="s">
        <v>3383</v>
      </c>
      <c r="Q436" t="s">
        <v>3384</v>
      </c>
      <c r="R436" t="s">
        <v>3385</v>
      </c>
      <c r="S436" t="s">
        <v>3386</v>
      </c>
    </row>
    <row r="437" spans="1:19" x14ac:dyDescent="0.25">
      <c r="A437" t="s">
        <v>3387</v>
      </c>
      <c r="B437" t="s">
        <v>3388</v>
      </c>
      <c r="C437">
        <v>2016</v>
      </c>
      <c r="F437" t="s">
        <v>140</v>
      </c>
      <c r="H437">
        <v>21</v>
      </c>
      <c r="I437">
        <v>3</v>
      </c>
      <c r="K437" t="s">
        <v>3389</v>
      </c>
      <c r="L437" t="s">
        <v>3390</v>
      </c>
      <c r="Q437" t="s">
        <v>3391</v>
      </c>
      <c r="R437" t="s">
        <v>3392</v>
      </c>
      <c r="S437" t="s">
        <v>3393</v>
      </c>
    </row>
    <row r="438" spans="1:19" x14ac:dyDescent="0.25">
      <c r="A438" t="s">
        <v>3394</v>
      </c>
      <c r="B438" t="s">
        <v>3395</v>
      </c>
      <c r="C438">
        <v>2014</v>
      </c>
      <c r="F438" t="s">
        <v>3396</v>
      </c>
      <c r="H438">
        <v>22</v>
      </c>
      <c r="I438">
        <v>3</v>
      </c>
      <c r="J438" t="s">
        <v>3397</v>
      </c>
      <c r="K438" t="s">
        <v>3398</v>
      </c>
      <c r="L438" t="s">
        <v>3399</v>
      </c>
      <c r="Q438" t="s">
        <v>3400</v>
      </c>
      <c r="R438" t="s">
        <v>3401</v>
      </c>
      <c r="S438" t="s">
        <v>3402</v>
      </c>
    </row>
    <row r="439" spans="1:19" x14ac:dyDescent="0.25">
      <c r="A439" t="s">
        <v>3403</v>
      </c>
      <c r="B439" t="s">
        <v>3404</v>
      </c>
      <c r="C439">
        <v>2009</v>
      </c>
      <c r="F439" t="s">
        <v>131</v>
      </c>
      <c r="H439">
        <v>142</v>
      </c>
      <c r="I439">
        <v>5</v>
      </c>
      <c r="J439" t="s">
        <v>3405</v>
      </c>
      <c r="K439" t="s">
        <v>2883</v>
      </c>
      <c r="L439" t="s">
        <v>3406</v>
      </c>
      <c r="Q439" t="s">
        <v>3407</v>
      </c>
      <c r="R439" t="s">
        <v>3408</v>
      </c>
      <c r="S439" t="s">
        <v>3409</v>
      </c>
    </row>
    <row r="440" spans="1:19" x14ac:dyDescent="0.25">
      <c r="A440" t="s">
        <v>3410</v>
      </c>
      <c r="B440" t="s">
        <v>3411</v>
      </c>
      <c r="C440">
        <v>2022</v>
      </c>
      <c r="F440" t="s">
        <v>1709</v>
      </c>
      <c r="H440">
        <v>10</v>
      </c>
      <c r="K440" t="s">
        <v>3412</v>
      </c>
      <c r="L440" t="s">
        <v>3413</v>
      </c>
      <c r="Q440" t="s">
        <v>3414</v>
      </c>
      <c r="R440" t="s">
        <v>3415</v>
      </c>
      <c r="S440" t="s">
        <v>3416</v>
      </c>
    </row>
    <row r="441" spans="1:19" x14ac:dyDescent="0.25">
      <c r="A441" t="s">
        <v>3417</v>
      </c>
      <c r="B441" t="s">
        <v>3418</v>
      </c>
      <c r="C441">
        <v>2023</v>
      </c>
      <c r="F441" t="s">
        <v>371</v>
      </c>
      <c r="H441">
        <v>5</v>
      </c>
      <c r="I441">
        <v>7</v>
      </c>
      <c r="K441" t="s">
        <v>3419</v>
      </c>
      <c r="L441" t="s">
        <v>3420</v>
      </c>
      <c r="Q441" t="s">
        <v>3421</v>
      </c>
      <c r="R441" t="s">
        <v>3422</v>
      </c>
      <c r="S441" t="s">
        <v>3423</v>
      </c>
    </row>
    <row r="442" spans="1:19" x14ac:dyDescent="0.25">
      <c r="A442" t="s">
        <v>3424</v>
      </c>
      <c r="B442" t="s">
        <v>3425</v>
      </c>
      <c r="C442">
        <v>2012</v>
      </c>
      <c r="F442" t="s">
        <v>395</v>
      </c>
      <c r="H442">
        <v>98</v>
      </c>
      <c r="I442">
        <v>1</v>
      </c>
      <c r="J442" t="s">
        <v>3426</v>
      </c>
      <c r="K442" t="s">
        <v>3427</v>
      </c>
      <c r="L442" t="s">
        <v>3428</v>
      </c>
      <c r="Q442" t="s">
        <v>3429</v>
      </c>
      <c r="R442" t="s">
        <v>3430</v>
      </c>
      <c r="S442" t="s">
        <v>3431</v>
      </c>
    </row>
    <row r="443" spans="1:19" x14ac:dyDescent="0.25">
      <c r="A443" t="s">
        <v>3432</v>
      </c>
      <c r="B443" t="s">
        <v>3433</v>
      </c>
      <c r="C443">
        <v>2019</v>
      </c>
      <c r="F443" t="s">
        <v>215</v>
      </c>
      <c r="H443">
        <v>15</v>
      </c>
      <c r="I443">
        <v>1</v>
      </c>
      <c r="J443" t="s">
        <v>3434</v>
      </c>
      <c r="K443" t="s">
        <v>3435</v>
      </c>
      <c r="L443" t="s">
        <v>3436</v>
      </c>
      <c r="Q443" t="s">
        <v>3437</v>
      </c>
      <c r="R443" t="s">
        <v>3438</v>
      </c>
      <c r="S443" t="s">
        <v>3439</v>
      </c>
    </row>
    <row r="444" spans="1:19" x14ac:dyDescent="0.25">
      <c r="A444" t="s">
        <v>3440</v>
      </c>
      <c r="B444" t="s">
        <v>3441</v>
      </c>
      <c r="C444">
        <v>2019</v>
      </c>
      <c r="F444" t="s">
        <v>1368</v>
      </c>
      <c r="H444">
        <v>33</v>
      </c>
      <c r="I444">
        <v>6</v>
      </c>
      <c r="J444" t="s">
        <v>3442</v>
      </c>
      <c r="K444" t="s">
        <v>3443</v>
      </c>
      <c r="L444" t="s">
        <v>3444</v>
      </c>
      <c r="Q444" t="s">
        <v>3445</v>
      </c>
      <c r="R444" t="s">
        <v>3446</v>
      </c>
      <c r="S444" t="s">
        <v>3447</v>
      </c>
    </row>
    <row r="445" spans="1:19" x14ac:dyDescent="0.25">
      <c r="A445" t="s">
        <v>3448</v>
      </c>
      <c r="B445" t="s">
        <v>3449</v>
      </c>
      <c r="C445">
        <v>2012</v>
      </c>
      <c r="F445" t="s">
        <v>3450</v>
      </c>
      <c r="H445">
        <v>53</v>
      </c>
      <c r="J445" t="s">
        <v>3451</v>
      </c>
      <c r="K445" t="s">
        <v>3452</v>
      </c>
      <c r="L445" t="s">
        <v>3453</v>
      </c>
      <c r="Q445" t="s">
        <v>3454</v>
      </c>
    </row>
    <row r="446" spans="1:19" x14ac:dyDescent="0.25">
      <c r="A446" t="s">
        <v>3455</v>
      </c>
      <c r="B446" t="s">
        <v>3456</v>
      </c>
      <c r="C446">
        <v>2020</v>
      </c>
      <c r="F446" t="s">
        <v>594</v>
      </c>
      <c r="H446">
        <v>204</v>
      </c>
      <c r="K446" t="s">
        <v>3457</v>
      </c>
      <c r="L446" t="s">
        <v>3458</v>
      </c>
      <c r="Q446" t="s">
        <v>3459</v>
      </c>
      <c r="R446" t="s">
        <v>3460</v>
      </c>
      <c r="S446" t="s">
        <v>3461</v>
      </c>
    </row>
    <row r="447" spans="1:19" x14ac:dyDescent="0.25">
      <c r="A447" t="s">
        <v>3462</v>
      </c>
      <c r="B447" t="s">
        <v>3463</v>
      </c>
      <c r="C447">
        <v>2016</v>
      </c>
      <c r="F447" t="s">
        <v>315</v>
      </c>
      <c r="H447">
        <v>55</v>
      </c>
      <c r="J447" t="s">
        <v>3464</v>
      </c>
      <c r="K447" t="s">
        <v>3465</v>
      </c>
      <c r="L447" t="s">
        <v>3466</v>
      </c>
      <c r="Q447" t="s">
        <v>3467</v>
      </c>
      <c r="R447" t="s">
        <v>3468</v>
      </c>
      <c r="S447" t="s">
        <v>3469</v>
      </c>
    </row>
    <row r="448" spans="1:19" x14ac:dyDescent="0.25">
      <c r="A448" t="s">
        <v>3470</v>
      </c>
      <c r="B448" t="s">
        <v>3471</v>
      </c>
      <c r="C448">
        <v>2023</v>
      </c>
      <c r="F448" t="s">
        <v>58</v>
      </c>
      <c r="H448">
        <v>10</v>
      </c>
      <c r="K448" t="s">
        <v>3472</v>
      </c>
      <c r="L448" t="s">
        <v>3473</v>
      </c>
      <c r="Q448" t="s">
        <v>1620</v>
      </c>
      <c r="R448" t="s">
        <v>3474</v>
      </c>
      <c r="S448" t="s">
        <v>3475</v>
      </c>
    </row>
    <row r="449" spans="1:19" x14ac:dyDescent="0.25">
      <c r="A449" t="s">
        <v>3476</v>
      </c>
      <c r="B449" t="s">
        <v>3477</v>
      </c>
      <c r="C449">
        <v>2023</v>
      </c>
      <c r="F449" t="s">
        <v>124</v>
      </c>
      <c r="H449">
        <v>12</v>
      </c>
      <c r="I449">
        <v>3</v>
      </c>
      <c r="K449" t="s">
        <v>3478</v>
      </c>
      <c r="L449" t="s">
        <v>3479</v>
      </c>
      <c r="Q449" t="s">
        <v>3480</v>
      </c>
      <c r="R449" t="s">
        <v>3481</v>
      </c>
      <c r="S449" t="s">
        <v>3482</v>
      </c>
    </row>
    <row r="450" spans="1:19" x14ac:dyDescent="0.25">
      <c r="A450" t="s">
        <v>3483</v>
      </c>
      <c r="B450" t="s">
        <v>2632</v>
      </c>
      <c r="C450">
        <v>2020</v>
      </c>
      <c r="F450" t="s">
        <v>2632</v>
      </c>
      <c r="J450">
        <v>1</v>
      </c>
      <c r="K450" t="s">
        <v>3484</v>
      </c>
      <c r="L450" t="s">
        <v>3485</v>
      </c>
      <c r="Q450" t="s">
        <v>3486</v>
      </c>
    </row>
    <row r="451" spans="1:19" x14ac:dyDescent="0.25">
      <c r="A451" t="s">
        <v>3487</v>
      </c>
      <c r="B451" t="s">
        <v>3488</v>
      </c>
      <c r="C451">
        <v>2024</v>
      </c>
      <c r="F451" t="s">
        <v>3489</v>
      </c>
      <c r="H451">
        <v>39</v>
      </c>
      <c r="K451" t="s">
        <v>3490</v>
      </c>
      <c r="L451" t="s">
        <v>3491</v>
      </c>
      <c r="Q451" t="s">
        <v>2193</v>
      </c>
      <c r="R451" t="s">
        <v>3492</v>
      </c>
      <c r="S451" t="s">
        <v>3493</v>
      </c>
    </row>
    <row r="452" spans="1:19" x14ac:dyDescent="0.25">
      <c r="A452" t="s">
        <v>3494</v>
      </c>
      <c r="B452" t="s">
        <v>3495</v>
      </c>
      <c r="C452">
        <v>2019</v>
      </c>
      <c r="F452" t="s">
        <v>3496</v>
      </c>
      <c r="H452">
        <v>30</v>
      </c>
      <c r="I452">
        <v>1</v>
      </c>
      <c r="J452" s="1">
        <v>46235</v>
      </c>
      <c r="K452" t="s">
        <v>3497</v>
      </c>
      <c r="L452" t="s">
        <v>3498</v>
      </c>
      <c r="Q452" t="s">
        <v>3499</v>
      </c>
      <c r="R452" t="s">
        <v>3500</v>
      </c>
      <c r="S452" t="s">
        <v>3501</v>
      </c>
    </row>
    <row r="453" spans="1:19" x14ac:dyDescent="0.25">
      <c r="A453" t="s">
        <v>3502</v>
      </c>
      <c r="B453" t="s">
        <v>3503</v>
      </c>
      <c r="C453">
        <v>2018</v>
      </c>
      <c r="F453" t="s">
        <v>1891</v>
      </c>
      <c r="H453">
        <v>11</v>
      </c>
      <c r="I453">
        <v>5</v>
      </c>
      <c r="K453" t="s">
        <v>3504</v>
      </c>
      <c r="L453" t="s">
        <v>3505</v>
      </c>
      <c r="Q453" t="s">
        <v>3506</v>
      </c>
      <c r="R453" t="s">
        <v>3507</v>
      </c>
      <c r="S453" t="s">
        <v>3508</v>
      </c>
    </row>
    <row r="454" spans="1:19" x14ac:dyDescent="0.25">
      <c r="A454" t="s">
        <v>3509</v>
      </c>
      <c r="B454" t="s">
        <v>3510</v>
      </c>
      <c r="C454">
        <v>2021</v>
      </c>
      <c r="F454" t="s">
        <v>131</v>
      </c>
      <c r="H454">
        <v>264</v>
      </c>
      <c r="K454" t="s">
        <v>3511</v>
      </c>
      <c r="L454" t="s">
        <v>3512</v>
      </c>
      <c r="Q454" t="s">
        <v>3513</v>
      </c>
      <c r="R454" t="s">
        <v>3514</v>
      </c>
      <c r="S454" t="s">
        <v>3515</v>
      </c>
    </row>
    <row r="455" spans="1:19" x14ac:dyDescent="0.25">
      <c r="A455" t="s">
        <v>3516</v>
      </c>
      <c r="B455" t="s">
        <v>3517</v>
      </c>
      <c r="C455">
        <v>2013</v>
      </c>
      <c r="F455" t="s">
        <v>223</v>
      </c>
      <c r="H455">
        <v>52</v>
      </c>
      <c r="I455">
        <v>6</v>
      </c>
      <c r="J455" t="s">
        <v>3518</v>
      </c>
      <c r="K455" t="s">
        <v>3519</v>
      </c>
      <c r="L455" t="s">
        <v>3520</v>
      </c>
      <c r="Q455" t="s">
        <v>3521</v>
      </c>
      <c r="R455" t="s">
        <v>3522</v>
      </c>
      <c r="S455" t="s">
        <v>3523</v>
      </c>
    </row>
    <row r="456" spans="1:19" x14ac:dyDescent="0.25">
      <c r="A456" t="s">
        <v>3524</v>
      </c>
      <c r="B456" t="s">
        <v>3525</v>
      </c>
      <c r="C456">
        <v>2019</v>
      </c>
      <c r="F456" t="s">
        <v>576</v>
      </c>
      <c r="H456">
        <v>56</v>
      </c>
      <c r="I456">
        <v>2</v>
      </c>
      <c r="J456" t="s">
        <v>3526</v>
      </c>
      <c r="K456" t="s">
        <v>3527</v>
      </c>
      <c r="L456" t="s">
        <v>3528</v>
      </c>
      <c r="Q456" t="s">
        <v>3529</v>
      </c>
      <c r="R456" t="s">
        <v>3530</v>
      </c>
      <c r="S456" t="s">
        <v>3531</v>
      </c>
    </row>
    <row r="457" spans="1:19" x14ac:dyDescent="0.25">
      <c r="A457" t="s">
        <v>3532</v>
      </c>
      <c r="B457" t="s">
        <v>3533</v>
      </c>
      <c r="C457">
        <v>2024</v>
      </c>
      <c r="F457" t="s">
        <v>998</v>
      </c>
      <c r="H457">
        <v>34</v>
      </c>
      <c r="I457">
        <v>3</v>
      </c>
      <c r="J457" t="s">
        <v>3534</v>
      </c>
      <c r="K457" t="s">
        <v>3535</v>
      </c>
      <c r="L457" t="s">
        <v>3536</v>
      </c>
      <c r="Q457" t="s">
        <v>2327</v>
      </c>
      <c r="R457" t="s">
        <v>3537</v>
      </c>
      <c r="S457" t="s">
        <v>3538</v>
      </c>
    </row>
    <row r="458" spans="1:19" x14ac:dyDescent="0.25">
      <c r="A458" t="s">
        <v>3539</v>
      </c>
      <c r="B458" t="s">
        <v>3540</v>
      </c>
      <c r="C458">
        <v>2015</v>
      </c>
      <c r="F458" t="s">
        <v>1188</v>
      </c>
      <c r="H458">
        <v>106</v>
      </c>
      <c r="J458" t="s">
        <v>3541</v>
      </c>
      <c r="K458" t="s">
        <v>3542</v>
      </c>
      <c r="L458" t="s">
        <v>3543</v>
      </c>
      <c r="Q458" t="s">
        <v>2620</v>
      </c>
      <c r="R458" t="s">
        <v>3544</v>
      </c>
      <c r="S458" t="s">
        <v>3545</v>
      </c>
    </row>
    <row r="459" spans="1:19" x14ac:dyDescent="0.25">
      <c r="A459" t="s">
        <v>3546</v>
      </c>
      <c r="B459" t="s">
        <v>3547</v>
      </c>
      <c r="C459">
        <v>2022</v>
      </c>
      <c r="F459" t="s">
        <v>371</v>
      </c>
      <c r="H459">
        <v>4</v>
      </c>
      <c r="I459">
        <v>5</v>
      </c>
      <c r="K459" t="s">
        <v>3548</v>
      </c>
      <c r="L459" t="s">
        <v>3549</v>
      </c>
      <c r="Q459" t="s">
        <v>3550</v>
      </c>
      <c r="R459" t="s">
        <v>3551</v>
      </c>
      <c r="S459" t="s">
        <v>3552</v>
      </c>
    </row>
    <row r="460" spans="1:19" x14ac:dyDescent="0.25">
      <c r="A460" t="s">
        <v>3553</v>
      </c>
      <c r="B460" t="s">
        <v>3554</v>
      </c>
      <c r="C460">
        <v>2020</v>
      </c>
      <c r="F460" t="s">
        <v>395</v>
      </c>
      <c r="H460">
        <v>271</v>
      </c>
      <c r="K460" t="s">
        <v>3555</v>
      </c>
      <c r="L460" t="s">
        <v>3556</v>
      </c>
      <c r="Q460" t="s">
        <v>3557</v>
      </c>
      <c r="R460" t="s">
        <v>3558</v>
      </c>
      <c r="S460" t="s">
        <v>3559</v>
      </c>
    </row>
    <row r="461" spans="1:19" x14ac:dyDescent="0.25">
      <c r="A461" t="s">
        <v>3560</v>
      </c>
      <c r="B461" t="s">
        <v>3561</v>
      </c>
      <c r="C461">
        <v>2017</v>
      </c>
      <c r="F461" t="s">
        <v>678</v>
      </c>
      <c r="H461">
        <v>83</v>
      </c>
      <c r="J461" t="s">
        <v>3562</v>
      </c>
      <c r="K461" t="s">
        <v>3563</v>
      </c>
      <c r="L461" t="s">
        <v>3564</v>
      </c>
      <c r="Q461" t="s">
        <v>3565</v>
      </c>
      <c r="R461" t="s">
        <v>3566</v>
      </c>
      <c r="S461" t="s">
        <v>3567</v>
      </c>
    </row>
    <row r="462" spans="1:19" x14ac:dyDescent="0.25">
      <c r="A462" t="s">
        <v>3568</v>
      </c>
      <c r="B462" t="s">
        <v>3569</v>
      </c>
      <c r="C462">
        <v>2001</v>
      </c>
      <c r="F462" t="s">
        <v>223</v>
      </c>
      <c r="H462">
        <v>27</v>
      </c>
      <c r="I462">
        <v>2</v>
      </c>
      <c r="J462" t="s">
        <v>3570</v>
      </c>
      <c r="K462" t="s">
        <v>3571</v>
      </c>
      <c r="L462" t="s">
        <v>3572</v>
      </c>
      <c r="Q462" t="s">
        <v>3573</v>
      </c>
      <c r="R462" t="s">
        <v>3574</v>
      </c>
      <c r="S462" t="s">
        <v>3575</v>
      </c>
    </row>
    <row r="463" spans="1:19" x14ac:dyDescent="0.25">
      <c r="A463" t="s">
        <v>3576</v>
      </c>
      <c r="B463" t="s">
        <v>3577</v>
      </c>
      <c r="C463">
        <v>2020</v>
      </c>
      <c r="F463" t="s">
        <v>2632</v>
      </c>
      <c r="J463" t="s">
        <v>3578</v>
      </c>
      <c r="K463" t="s">
        <v>3579</v>
      </c>
      <c r="L463" t="s">
        <v>3580</v>
      </c>
      <c r="Q463" t="s">
        <v>3581</v>
      </c>
      <c r="S463" t="s">
        <v>3582</v>
      </c>
    </row>
    <row r="464" spans="1:19" x14ac:dyDescent="0.25">
      <c r="A464" t="s">
        <v>3583</v>
      </c>
      <c r="B464" t="s">
        <v>3584</v>
      </c>
      <c r="C464">
        <v>2024</v>
      </c>
      <c r="F464" t="s">
        <v>419</v>
      </c>
      <c r="H464">
        <v>931</v>
      </c>
      <c r="K464" t="s">
        <v>3585</v>
      </c>
      <c r="L464" t="s">
        <v>3586</v>
      </c>
      <c r="Q464" t="s">
        <v>3587</v>
      </c>
      <c r="R464" t="s">
        <v>3588</v>
      </c>
      <c r="S464" t="s">
        <v>3589</v>
      </c>
    </row>
    <row r="465" spans="1:19" x14ac:dyDescent="0.25">
      <c r="A465" t="s">
        <v>3590</v>
      </c>
      <c r="B465" t="s">
        <v>3591</v>
      </c>
      <c r="C465">
        <v>2023</v>
      </c>
      <c r="F465" t="s">
        <v>3592</v>
      </c>
      <c r="H465">
        <v>47</v>
      </c>
      <c r="I465">
        <v>1</v>
      </c>
      <c r="K465" t="s">
        <v>3593</v>
      </c>
      <c r="L465" t="s">
        <v>3594</v>
      </c>
      <c r="Q465" t="s">
        <v>3595</v>
      </c>
      <c r="R465" t="s">
        <v>3596</v>
      </c>
      <c r="S465" t="s">
        <v>3597</v>
      </c>
    </row>
    <row r="466" spans="1:19" x14ac:dyDescent="0.25">
      <c r="A466" t="s">
        <v>3598</v>
      </c>
      <c r="B466" t="s">
        <v>3599</v>
      </c>
      <c r="C466">
        <v>2023</v>
      </c>
      <c r="F466" t="s">
        <v>1368</v>
      </c>
      <c r="H466">
        <v>37</v>
      </c>
      <c r="I466">
        <v>6</v>
      </c>
      <c r="K466" t="s">
        <v>3600</v>
      </c>
      <c r="L466" t="s">
        <v>3601</v>
      </c>
      <c r="Q466" t="s">
        <v>3602</v>
      </c>
      <c r="R466" t="s">
        <v>3603</v>
      </c>
      <c r="S466" t="s">
        <v>3604</v>
      </c>
    </row>
    <row r="467" spans="1:19" x14ac:dyDescent="0.25">
      <c r="A467" t="s">
        <v>3605</v>
      </c>
      <c r="B467" t="s">
        <v>3606</v>
      </c>
      <c r="C467">
        <v>2022</v>
      </c>
      <c r="F467" t="s">
        <v>1368</v>
      </c>
      <c r="H467">
        <v>36</v>
      </c>
      <c r="I467">
        <v>1</v>
      </c>
      <c r="K467" t="s">
        <v>3607</v>
      </c>
      <c r="L467" t="s">
        <v>3608</v>
      </c>
      <c r="Q467" t="s">
        <v>3609</v>
      </c>
      <c r="R467" t="s">
        <v>3610</v>
      </c>
      <c r="S467" t="s">
        <v>3611</v>
      </c>
    </row>
    <row r="468" spans="1:19" x14ac:dyDescent="0.25">
      <c r="A468" t="s">
        <v>3612</v>
      </c>
      <c r="B468" t="s">
        <v>3613</v>
      </c>
      <c r="C468">
        <v>2015</v>
      </c>
      <c r="F468" t="s">
        <v>3614</v>
      </c>
      <c r="H468">
        <v>60</v>
      </c>
      <c r="J468" t="s">
        <v>3615</v>
      </c>
      <c r="K468" t="s">
        <v>3616</v>
      </c>
      <c r="L468" t="s">
        <v>3617</v>
      </c>
      <c r="Q468" t="s">
        <v>1766</v>
      </c>
      <c r="R468" t="s">
        <v>3618</v>
      </c>
      <c r="S468" t="s">
        <v>3619</v>
      </c>
    </row>
    <row r="469" spans="1:19" x14ac:dyDescent="0.25">
      <c r="A469" t="s">
        <v>3620</v>
      </c>
      <c r="B469" t="s">
        <v>3621</v>
      </c>
      <c r="C469">
        <v>2017</v>
      </c>
      <c r="F469" t="s">
        <v>3006</v>
      </c>
      <c r="H469">
        <v>115</v>
      </c>
      <c r="I469">
        <v>1</v>
      </c>
      <c r="J469" t="s">
        <v>3622</v>
      </c>
      <c r="K469" t="s">
        <v>3623</v>
      </c>
      <c r="L469" t="s">
        <v>3624</v>
      </c>
      <c r="Q469" t="s">
        <v>1472</v>
      </c>
      <c r="R469" t="s">
        <v>3625</v>
      </c>
      <c r="S469" t="s">
        <v>3626</v>
      </c>
    </row>
    <row r="470" spans="1:19" x14ac:dyDescent="0.25">
      <c r="A470" t="s">
        <v>3627</v>
      </c>
      <c r="B470" t="s">
        <v>3628</v>
      </c>
      <c r="C470">
        <v>2023</v>
      </c>
      <c r="F470" t="s">
        <v>3629</v>
      </c>
      <c r="H470">
        <v>620</v>
      </c>
      <c r="I470">
        <v>7975</v>
      </c>
      <c r="J470" t="s">
        <v>3630</v>
      </c>
      <c r="K470" t="s">
        <v>3631</v>
      </c>
      <c r="L470" t="s">
        <v>3632</v>
      </c>
      <c r="Q470" t="s">
        <v>3633</v>
      </c>
      <c r="R470" t="s">
        <v>3634</v>
      </c>
      <c r="S470" t="s">
        <v>3635</v>
      </c>
    </row>
    <row r="471" spans="1:19" x14ac:dyDescent="0.25">
      <c r="A471" t="s">
        <v>3636</v>
      </c>
      <c r="B471" t="s">
        <v>3637</v>
      </c>
      <c r="C471">
        <v>2013</v>
      </c>
      <c r="F471" t="s">
        <v>1368</v>
      </c>
      <c r="H471">
        <v>27</v>
      </c>
      <c r="I471">
        <v>5</v>
      </c>
      <c r="J471" t="s">
        <v>3638</v>
      </c>
      <c r="K471" t="s">
        <v>3639</v>
      </c>
      <c r="L471" t="s">
        <v>3640</v>
      </c>
      <c r="Q471" t="s">
        <v>3641</v>
      </c>
      <c r="R471" t="s">
        <v>3642</v>
      </c>
      <c r="S471" t="s">
        <v>3643</v>
      </c>
    </row>
    <row r="472" spans="1:19" x14ac:dyDescent="0.25">
      <c r="A472" t="s">
        <v>3644</v>
      </c>
      <c r="B472" t="s">
        <v>3645</v>
      </c>
      <c r="C472">
        <v>2019</v>
      </c>
      <c r="F472" t="s">
        <v>1531</v>
      </c>
      <c r="H472">
        <v>7</v>
      </c>
      <c r="K472" t="s">
        <v>3646</v>
      </c>
      <c r="L472" t="s">
        <v>3647</v>
      </c>
      <c r="Q472" t="s">
        <v>3648</v>
      </c>
      <c r="R472" t="s">
        <v>3649</v>
      </c>
      <c r="S472" t="s">
        <v>3650</v>
      </c>
    </row>
    <row r="473" spans="1:19" x14ac:dyDescent="0.25">
      <c r="A473" t="s">
        <v>3651</v>
      </c>
      <c r="B473" t="s">
        <v>3652</v>
      </c>
      <c r="C473">
        <v>2025</v>
      </c>
      <c r="F473" t="s">
        <v>140</v>
      </c>
      <c r="H473">
        <v>30</v>
      </c>
      <c r="I473">
        <v>1</v>
      </c>
      <c r="K473" t="s">
        <v>3653</v>
      </c>
      <c r="L473" t="s">
        <v>3654</v>
      </c>
      <c r="Q473" t="s">
        <v>3655</v>
      </c>
      <c r="R473" t="s">
        <v>3656</v>
      </c>
      <c r="S473" t="s">
        <v>3657</v>
      </c>
    </row>
    <row r="474" spans="1:19" x14ac:dyDescent="0.25">
      <c r="A474" t="s">
        <v>3658</v>
      </c>
      <c r="B474" t="s">
        <v>3659</v>
      </c>
      <c r="C474">
        <v>2019</v>
      </c>
      <c r="F474" t="s">
        <v>1833</v>
      </c>
      <c r="H474">
        <v>34</v>
      </c>
      <c r="I474">
        <v>10</v>
      </c>
      <c r="J474" t="s">
        <v>3660</v>
      </c>
      <c r="K474" t="s">
        <v>3661</v>
      </c>
      <c r="L474" t="s">
        <v>3662</v>
      </c>
      <c r="Q474" t="s">
        <v>3663</v>
      </c>
      <c r="R474" t="s">
        <v>3664</v>
      </c>
      <c r="S474" t="s">
        <v>3665</v>
      </c>
    </row>
    <row r="475" spans="1:19" x14ac:dyDescent="0.25">
      <c r="A475" t="s">
        <v>3666</v>
      </c>
      <c r="B475" t="s">
        <v>3667</v>
      </c>
      <c r="C475">
        <v>2016</v>
      </c>
      <c r="F475" t="s">
        <v>1368</v>
      </c>
      <c r="H475">
        <v>30</v>
      </c>
      <c r="I475">
        <v>1</v>
      </c>
      <c r="J475" t="s">
        <v>3668</v>
      </c>
      <c r="K475" t="s">
        <v>3669</v>
      </c>
      <c r="L475" t="s">
        <v>3670</v>
      </c>
      <c r="Q475" t="s">
        <v>3671</v>
      </c>
      <c r="R475" t="s">
        <v>3672</v>
      </c>
      <c r="S475" t="s">
        <v>3673</v>
      </c>
    </row>
    <row r="476" spans="1:19" x14ac:dyDescent="0.25">
      <c r="A476" t="s">
        <v>3674</v>
      </c>
      <c r="B476" t="s">
        <v>3675</v>
      </c>
      <c r="C476">
        <v>2017</v>
      </c>
      <c r="F476" t="s">
        <v>131</v>
      </c>
      <c r="H476">
        <v>210</v>
      </c>
      <c r="J476" t="s">
        <v>3676</v>
      </c>
      <c r="K476" t="s">
        <v>3677</v>
      </c>
      <c r="L476" t="s">
        <v>3678</v>
      </c>
      <c r="Q476" t="s">
        <v>3679</v>
      </c>
      <c r="R476" t="s">
        <v>3680</v>
      </c>
      <c r="S476" t="s">
        <v>3681</v>
      </c>
    </row>
    <row r="477" spans="1:19" x14ac:dyDescent="0.25">
      <c r="A477" t="s">
        <v>3682</v>
      </c>
      <c r="B477" t="s">
        <v>3683</v>
      </c>
      <c r="C477">
        <v>2015</v>
      </c>
      <c r="F477" t="s">
        <v>131</v>
      </c>
      <c r="H477">
        <v>191</v>
      </c>
      <c r="J477" t="s">
        <v>3684</v>
      </c>
      <c r="K477" t="s">
        <v>3685</v>
      </c>
      <c r="L477" t="s">
        <v>3686</v>
      </c>
      <c r="Q477" t="s">
        <v>3687</v>
      </c>
      <c r="R477" t="s">
        <v>3688</v>
      </c>
      <c r="S477" t="s">
        <v>3689</v>
      </c>
    </row>
    <row r="478" spans="1:19" x14ac:dyDescent="0.25">
      <c r="A478" t="s">
        <v>3690</v>
      </c>
      <c r="B478" t="s">
        <v>3691</v>
      </c>
      <c r="C478">
        <v>2020</v>
      </c>
      <c r="F478" t="s">
        <v>58</v>
      </c>
      <c r="H478">
        <v>7</v>
      </c>
      <c r="K478" t="s">
        <v>3692</v>
      </c>
      <c r="L478" t="s">
        <v>3693</v>
      </c>
      <c r="Q478" t="s">
        <v>3679</v>
      </c>
      <c r="R478" t="s">
        <v>3694</v>
      </c>
      <c r="S478" t="s">
        <v>3695</v>
      </c>
    </row>
    <row r="479" spans="1:19" x14ac:dyDescent="0.25">
      <c r="A479" t="s">
        <v>3696</v>
      </c>
      <c r="B479" t="s">
        <v>3697</v>
      </c>
      <c r="C479">
        <v>2008</v>
      </c>
      <c r="F479" t="s">
        <v>223</v>
      </c>
      <c r="H479">
        <v>41</v>
      </c>
      <c r="I479">
        <v>5</v>
      </c>
      <c r="J479" t="s">
        <v>3698</v>
      </c>
      <c r="K479" t="s">
        <v>3699</v>
      </c>
      <c r="L479" t="s">
        <v>3700</v>
      </c>
      <c r="Q479" t="s">
        <v>3701</v>
      </c>
      <c r="R479" t="s">
        <v>3702</v>
      </c>
      <c r="S479" t="s">
        <v>3703</v>
      </c>
    </row>
    <row r="480" spans="1:19" x14ac:dyDescent="0.25">
      <c r="A480" t="s">
        <v>3704</v>
      </c>
      <c r="B480" t="s">
        <v>3705</v>
      </c>
      <c r="C480">
        <v>2016</v>
      </c>
      <c r="F480" t="s">
        <v>1188</v>
      </c>
      <c r="H480">
        <v>122</v>
      </c>
      <c r="J480" t="s">
        <v>3706</v>
      </c>
      <c r="K480" t="s">
        <v>3707</v>
      </c>
      <c r="L480" t="s">
        <v>3708</v>
      </c>
      <c r="Q480" t="s">
        <v>3709</v>
      </c>
      <c r="R480" t="s">
        <v>3710</v>
      </c>
      <c r="S480" t="s">
        <v>3711</v>
      </c>
    </row>
    <row r="481" spans="1:19" x14ac:dyDescent="0.25">
      <c r="A481" t="s">
        <v>3712</v>
      </c>
      <c r="B481" t="s">
        <v>3713</v>
      </c>
      <c r="C481">
        <v>2017</v>
      </c>
      <c r="F481" t="s">
        <v>1891</v>
      </c>
      <c r="H481">
        <v>10</v>
      </c>
      <c r="I481">
        <v>4</v>
      </c>
      <c r="J481" t="s">
        <v>3714</v>
      </c>
      <c r="K481" t="s">
        <v>3715</v>
      </c>
      <c r="L481" t="s">
        <v>3716</v>
      </c>
      <c r="Q481" t="s">
        <v>3717</v>
      </c>
      <c r="R481" t="s">
        <v>3718</v>
      </c>
      <c r="S481" t="s">
        <v>3719</v>
      </c>
    </row>
    <row r="482" spans="1:19" x14ac:dyDescent="0.25">
      <c r="A482" t="s">
        <v>3720</v>
      </c>
      <c r="B482" t="s">
        <v>3721</v>
      </c>
      <c r="C482">
        <v>2015</v>
      </c>
      <c r="F482" t="s">
        <v>395</v>
      </c>
      <c r="H482">
        <v>157</v>
      </c>
      <c r="J482" t="s">
        <v>3722</v>
      </c>
      <c r="K482" t="s">
        <v>3723</v>
      </c>
      <c r="L482" t="s">
        <v>3724</v>
      </c>
      <c r="Q482" t="s">
        <v>3725</v>
      </c>
      <c r="R482" t="s">
        <v>3726</v>
      </c>
      <c r="S482" t="s">
        <v>3727</v>
      </c>
    </row>
    <row r="483" spans="1:19" x14ac:dyDescent="0.25">
      <c r="A483" t="s">
        <v>3728</v>
      </c>
      <c r="B483" t="s">
        <v>3729</v>
      </c>
      <c r="C483">
        <v>2022</v>
      </c>
      <c r="F483" t="s">
        <v>3730</v>
      </c>
      <c r="H483">
        <v>22</v>
      </c>
      <c r="K483" t="s">
        <v>3731</v>
      </c>
      <c r="L483" t="s">
        <v>3732</v>
      </c>
      <c r="Q483" t="s">
        <v>3733</v>
      </c>
      <c r="R483" t="s">
        <v>3734</v>
      </c>
      <c r="S483" t="s">
        <v>3735</v>
      </c>
    </row>
    <row r="484" spans="1:19" x14ac:dyDescent="0.25">
      <c r="A484" t="s">
        <v>3736</v>
      </c>
      <c r="B484" t="s">
        <v>3737</v>
      </c>
      <c r="C484">
        <v>2023</v>
      </c>
      <c r="F484" t="s">
        <v>3738</v>
      </c>
      <c r="J484" s="2">
        <v>42736</v>
      </c>
      <c r="K484" t="s">
        <v>3739</v>
      </c>
      <c r="L484" t="s">
        <v>3740</v>
      </c>
      <c r="Q484" t="s">
        <v>1183</v>
      </c>
      <c r="S484" t="s">
        <v>3741</v>
      </c>
    </row>
    <row r="485" spans="1:19" x14ac:dyDescent="0.25">
      <c r="A485" t="s">
        <v>3742</v>
      </c>
      <c r="B485" t="s">
        <v>3743</v>
      </c>
      <c r="C485">
        <v>2018</v>
      </c>
      <c r="F485" t="s">
        <v>2021</v>
      </c>
      <c r="H485">
        <v>3</v>
      </c>
      <c r="I485">
        <v>1</v>
      </c>
      <c r="J485" t="s">
        <v>3744</v>
      </c>
      <c r="K485" t="s">
        <v>3745</v>
      </c>
      <c r="L485" t="s">
        <v>3746</v>
      </c>
      <c r="Q485" t="s">
        <v>3747</v>
      </c>
      <c r="R485" t="s">
        <v>3748</v>
      </c>
      <c r="S485" t="s">
        <v>3749</v>
      </c>
    </row>
    <row r="486" spans="1:19" x14ac:dyDescent="0.25">
      <c r="A486" t="s">
        <v>3750</v>
      </c>
      <c r="B486" t="s">
        <v>3751</v>
      </c>
      <c r="C486">
        <v>2016</v>
      </c>
      <c r="F486" t="s">
        <v>223</v>
      </c>
      <c r="H486">
        <v>57</v>
      </c>
      <c r="I486">
        <v>4</v>
      </c>
      <c r="J486" t="s">
        <v>3752</v>
      </c>
      <c r="K486" t="s">
        <v>3753</v>
      </c>
      <c r="L486" t="s">
        <v>3754</v>
      </c>
      <c r="Q486" t="s">
        <v>3755</v>
      </c>
      <c r="R486" t="s">
        <v>3756</v>
      </c>
      <c r="S486" t="s">
        <v>3757</v>
      </c>
    </row>
    <row r="487" spans="1:19" x14ac:dyDescent="0.25">
      <c r="A487" t="s">
        <v>3758</v>
      </c>
      <c r="B487" t="s">
        <v>3759</v>
      </c>
      <c r="C487">
        <v>2018</v>
      </c>
      <c r="F487" t="s">
        <v>1891</v>
      </c>
      <c r="H487">
        <v>11</v>
      </c>
      <c r="I487">
        <v>2</v>
      </c>
      <c r="K487" t="s">
        <v>3760</v>
      </c>
      <c r="L487" t="s">
        <v>3761</v>
      </c>
      <c r="Q487" t="s">
        <v>3762</v>
      </c>
      <c r="R487" t="s">
        <v>3763</v>
      </c>
      <c r="S487" t="s">
        <v>3764</v>
      </c>
    </row>
    <row r="488" spans="1:19" x14ac:dyDescent="0.25">
      <c r="A488" t="s">
        <v>3765</v>
      </c>
      <c r="B488" t="s">
        <v>3766</v>
      </c>
      <c r="C488">
        <v>2020</v>
      </c>
      <c r="F488" t="s">
        <v>3767</v>
      </c>
      <c r="H488">
        <v>2</v>
      </c>
      <c r="I488">
        <v>1</v>
      </c>
      <c r="J488" t="s">
        <v>3768</v>
      </c>
      <c r="K488" t="s">
        <v>3769</v>
      </c>
      <c r="L488" t="s">
        <v>3770</v>
      </c>
      <c r="Q488" t="s">
        <v>3771</v>
      </c>
      <c r="R488" t="s">
        <v>3772</v>
      </c>
      <c r="S488" t="s">
        <v>3773</v>
      </c>
    </row>
    <row r="489" spans="1:19" x14ac:dyDescent="0.25">
      <c r="A489" t="s">
        <v>3774</v>
      </c>
      <c r="B489" t="s">
        <v>3775</v>
      </c>
      <c r="C489">
        <v>2009</v>
      </c>
      <c r="F489" t="s">
        <v>3776</v>
      </c>
      <c r="H489">
        <v>5</v>
      </c>
      <c r="I489">
        <v>1</v>
      </c>
      <c r="J489" s="2">
        <v>44105</v>
      </c>
      <c r="K489" t="s">
        <v>3777</v>
      </c>
      <c r="L489" t="s">
        <v>3778</v>
      </c>
      <c r="Q489" t="s">
        <v>1635</v>
      </c>
      <c r="R489" t="s">
        <v>3779</v>
      </c>
      <c r="S489" t="s">
        <v>3780</v>
      </c>
    </row>
    <row r="490" spans="1:19" x14ac:dyDescent="0.25">
      <c r="A490" t="s">
        <v>3781</v>
      </c>
      <c r="B490" t="s">
        <v>3782</v>
      </c>
      <c r="C490">
        <v>2014</v>
      </c>
      <c r="F490" t="s">
        <v>3783</v>
      </c>
      <c r="H490">
        <v>32</v>
      </c>
      <c r="I490">
        <v>1</v>
      </c>
      <c r="J490" t="s">
        <v>3784</v>
      </c>
      <c r="K490" t="s">
        <v>3785</v>
      </c>
      <c r="L490" t="s">
        <v>3786</v>
      </c>
      <c r="Q490" t="s">
        <v>3787</v>
      </c>
      <c r="R490" t="s">
        <v>3788</v>
      </c>
      <c r="S490" t="s">
        <v>3789</v>
      </c>
    </row>
    <row r="491" spans="1:19" x14ac:dyDescent="0.25">
      <c r="A491" t="s">
        <v>3790</v>
      </c>
      <c r="B491" t="s">
        <v>3791</v>
      </c>
      <c r="C491">
        <v>2024</v>
      </c>
      <c r="F491" t="s">
        <v>678</v>
      </c>
      <c r="H491">
        <v>161</v>
      </c>
      <c r="K491" t="s">
        <v>3792</v>
      </c>
      <c r="L491" t="s">
        <v>3793</v>
      </c>
      <c r="Q491" t="s">
        <v>3794</v>
      </c>
      <c r="R491" t="s">
        <v>3795</v>
      </c>
      <c r="S491" t="s">
        <v>3796</v>
      </c>
    </row>
    <row r="492" spans="1:19" x14ac:dyDescent="0.25">
      <c r="A492" t="s">
        <v>3797</v>
      </c>
      <c r="B492" t="s">
        <v>3798</v>
      </c>
      <c r="C492">
        <v>2009</v>
      </c>
      <c r="F492" t="s">
        <v>223</v>
      </c>
      <c r="H492">
        <v>44</v>
      </c>
      <c r="I492">
        <v>1</v>
      </c>
      <c r="J492" s="2">
        <v>45261</v>
      </c>
      <c r="K492" t="s">
        <v>3799</v>
      </c>
      <c r="L492" t="s">
        <v>3800</v>
      </c>
      <c r="Q492" t="s">
        <v>3801</v>
      </c>
      <c r="R492" t="s">
        <v>3802</v>
      </c>
      <c r="S492" t="s">
        <v>3803</v>
      </c>
    </row>
    <row r="493" spans="1:19" x14ac:dyDescent="0.25">
      <c r="A493" t="s">
        <v>3804</v>
      </c>
      <c r="B493" t="s">
        <v>3805</v>
      </c>
      <c r="C493">
        <v>2024</v>
      </c>
      <c r="F493" t="s">
        <v>131</v>
      </c>
      <c r="H493">
        <v>289</v>
      </c>
      <c r="K493" t="s">
        <v>3806</v>
      </c>
      <c r="L493" t="s">
        <v>3807</v>
      </c>
      <c r="Q493" t="s">
        <v>3480</v>
      </c>
      <c r="R493" t="s">
        <v>3808</v>
      </c>
      <c r="S493" t="s">
        <v>3809</v>
      </c>
    </row>
    <row r="494" spans="1:19" x14ac:dyDescent="0.25">
      <c r="A494" t="s">
        <v>3810</v>
      </c>
      <c r="B494" t="s">
        <v>3811</v>
      </c>
      <c r="C494">
        <v>2019</v>
      </c>
      <c r="F494" t="s">
        <v>371</v>
      </c>
      <c r="H494">
        <v>1</v>
      </c>
      <c r="I494">
        <v>8</v>
      </c>
      <c r="K494" t="s">
        <v>3812</v>
      </c>
      <c r="L494" t="s">
        <v>3813</v>
      </c>
      <c r="Q494" t="s">
        <v>2989</v>
      </c>
      <c r="R494" t="s">
        <v>3814</v>
      </c>
      <c r="S494" t="s">
        <v>3815</v>
      </c>
    </row>
    <row r="495" spans="1:19" x14ac:dyDescent="0.25">
      <c r="A495" t="s">
        <v>3816</v>
      </c>
      <c r="B495" t="s">
        <v>3817</v>
      </c>
      <c r="C495">
        <v>2019</v>
      </c>
      <c r="F495" t="s">
        <v>140</v>
      </c>
      <c r="H495">
        <v>24</v>
      </c>
      <c r="I495">
        <v>2</v>
      </c>
      <c r="K495" t="s">
        <v>3818</v>
      </c>
      <c r="L495" t="s">
        <v>3819</v>
      </c>
      <c r="Q495" t="s">
        <v>3820</v>
      </c>
      <c r="R495" t="s">
        <v>3821</v>
      </c>
      <c r="S495" t="s">
        <v>3822</v>
      </c>
    </row>
    <row r="496" spans="1:19" x14ac:dyDescent="0.25">
      <c r="A496" t="s">
        <v>3823</v>
      </c>
      <c r="B496" t="s">
        <v>3824</v>
      </c>
      <c r="C496">
        <v>2008</v>
      </c>
      <c r="F496" t="s">
        <v>3825</v>
      </c>
      <c r="J496" t="s">
        <v>3826</v>
      </c>
      <c r="K496" t="s">
        <v>3827</v>
      </c>
      <c r="L496" t="s">
        <v>3828</v>
      </c>
      <c r="Q496" t="s">
        <v>2131</v>
      </c>
      <c r="S496" t="s">
        <v>3829</v>
      </c>
    </row>
    <row r="497" spans="1:19" x14ac:dyDescent="0.25">
      <c r="A497" t="s">
        <v>3830</v>
      </c>
      <c r="B497" t="s">
        <v>3831</v>
      </c>
      <c r="C497">
        <v>2024</v>
      </c>
      <c r="F497" t="s">
        <v>678</v>
      </c>
      <c r="H497">
        <v>163</v>
      </c>
      <c r="K497" t="s">
        <v>3832</v>
      </c>
      <c r="L497" t="s">
        <v>3833</v>
      </c>
      <c r="Q497" t="s">
        <v>1225</v>
      </c>
      <c r="R497" t="s">
        <v>3834</v>
      </c>
      <c r="S497" t="s">
        <v>3835</v>
      </c>
    </row>
    <row r="498" spans="1:19" x14ac:dyDescent="0.25">
      <c r="A498" t="s">
        <v>3836</v>
      </c>
      <c r="B498" t="s">
        <v>3837</v>
      </c>
      <c r="C498">
        <v>2020</v>
      </c>
      <c r="F498" t="s">
        <v>131</v>
      </c>
      <c r="H498">
        <v>248</v>
      </c>
      <c r="K498" t="s">
        <v>3838</v>
      </c>
      <c r="L498" t="s">
        <v>3839</v>
      </c>
      <c r="Q498" t="s">
        <v>3840</v>
      </c>
      <c r="R498" t="s">
        <v>3841</v>
      </c>
      <c r="S498" t="s">
        <v>3842</v>
      </c>
    </row>
    <row r="499" spans="1:19" x14ac:dyDescent="0.25">
      <c r="A499" t="s">
        <v>3843</v>
      </c>
      <c r="B499" t="s">
        <v>3844</v>
      </c>
      <c r="C499">
        <v>1985</v>
      </c>
      <c r="F499" t="s">
        <v>3845</v>
      </c>
      <c r="J499" t="s">
        <v>3846</v>
      </c>
      <c r="K499" t="s">
        <v>3847</v>
      </c>
      <c r="L499" t="s">
        <v>3848</v>
      </c>
      <c r="Q499" t="s">
        <v>3849</v>
      </c>
      <c r="R499" t="s">
        <v>3850</v>
      </c>
      <c r="S499" t="s">
        <v>3851</v>
      </c>
    </row>
    <row r="500" spans="1:19" x14ac:dyDescent="0.25">
      <c r="A500" t="s">
        <v>3852</v>
      </c>
      <c r="B500" t="s">
        <v>3853</v>
      </c>
      <c r="C500">
        <v>2018</v>
      </c>
      <c r="F500" t="s">
        <v>74</v>
      </c>
      <c r="H500">
        <v>27</v>
      </c>
      <c r="I500">
        <v>7</v>
      </c>
      <c r="J500" t="s">
        <v>3854</v>
      </c>
      <c r="K500" t="s">
        <v>3855</v>
      </c>
      <c r="L500" t="s">
        <v>3856</v>
      </c>
      <c r="Q500" t="s">
        <v>3857</v>
      </c>
      <c r="R500" t="s">
        <v>3858</v>
      </c>
      <c r="S500" t="s">
        <v>3859</v>
      </c>
    </row>
    <row r="501" spans="1:19" x14ac:dyDescent="0.25">
      <c r="A501" t="s">
        <v>3860</v>
      </c>
      <c r="B501" t="s">
        <v>3861</v>
      </c>
      <c r="C501">
        <v>2018</v>
      </c>
      <c r="F501" t="s">
        <v>3862</v>
      </c>
      <c r="H501">
        <v>16</v>
      </c>
      <c r="I501">
        <v>3</v>
      </c>
      <c r="J501" t="s">
        <v>3863</v>
      </c>
      <c r="K501" t="s">
        <v>3864</v>
      </c>
      <c r="L501" t="s">
        <v>3865</v>
      </c>
      <c r="Q501" t="s">
        <v>3866</v>
      </c>
      <c r="R501" t="s">
        <v>3867</v>
      </c>
      <c r="S501" t="s">
        <v>3868</v>
      </c>
    </row>
    <row r="502" spans="1:19" x14ac:dyDescent="0.25">
      <c r="A502" t="s">
        <v>3869</v>
      </c>
      <c r="B502" t="s">
        <v>3870</v>
      </c>
      <c r="C502">
        <v>2023</v>
      </c>
      <c r="F502" t="s">
        <v>371</v>
      </c>
      <c r="H502">
        <v>5</v>
      </c>
      <c r="I502">
        <v>2</v>
      </c>
      <c r="K502" t="s">
        <v>3871</v>
      </c>
      <c r="L502" t="s">
        <v>3872</v>
      </c>
      <c r="Q502" t="s">
        <v>3873</v>
      </c>
      <c r="R502" t="s">
        <v>3874</v>
      </c>
      <c r="S502" t="s">
        <v>3875</v>
      </c>
    </row>
    <row r="503" spans="1:19" x14ac:dyDescent="0.25">
      <c r="A503" t="s">
        <v>3876</v>
      </c>
      <c r="B503" t="s">
        <v>3877</v>
      </c>
      <c r="C503">
        <v>2015</v>
      </c>
      <c r="F503" t="s">
        <v>1352</v>
      </c>
      <c r="H503">
        <v>42</v>
      </c>
      <c r="I503">
        <v>3</v>
      </c>
      <c r="J503" t="s">
        <v>3878</v>
      </c>
      <c r="K503" t="s">
        <v>3879</v>
      </c>
      <c r="L503" t="s">
        <v>3880</v>
      </c>
      <c r="Q503" t="s">
        <v>3881</v>
      </c>
      <c r="R503" t="s">
        <v>3882</v>
      </c>
      <c r="S503" t="s">
        <v>3883</v>
      </c>
    </row>
    <row r="504" spans="1:19" x14ac:dyDescent="0.25">
      <c r="A504" t="s">
        <v>3884</v>
      </c>
      <c r="B504" t="s">
        <v>3885</v>
      </c>
      <c r="C504">
        <v>2013</v>
      </c>
      <c r="F504" t="s">
        <v>140</v>
      </c>
      <c r="H504">
        <v>18</v>
      </c>
      <c r="I504">
        <v>3</v>
      </c>
      <c r="K504" t="s">
        <v>3886</v>
      </c>
      <c r="L504" t="s">
        <v>3887</v>
      </c>
      <c r="Q504" t="s">
        <v>3888</v>
      </c>
      <c r="R504" t="s">
        <v>3889</v>
      </c>
      <c r="S504" t="s">
        <v>3890</v>
      </c>
    </row>
    <row r="505" spans="1:19" x14ac:dyDescent="0.25">
      <c r="A505" t="s">
        <v>3891</v>
      </c>
      <c r="B505" t="s">
        <v>3892</v>
      </c>
      <c r="C505">
        <v>2016</v>
      </c>
      <c r="F505" t="s">
        <v>395</v>
      </c>
      <c r="H505">
        <v>180</v>
      </c>
      <c r="J505" t="s">
        <v>3893</v>
      </c>
      <c r="K505" t="s">
        <v>3894</v>
      </c>
      <c r="L505" t="s">
        <v>3895</v>
      </c>
      <c r="Q505" t="s">
        <v>3896</v>
      </c>
      <c r="R505" t="s">
        <v>3897</v>
      </c>
      <c r="S505" t="s">
        <v>3898</v>
      </c>
    </row>
    <row r="506" spans="1:19" x14ac:dyDescent="0.25">
      <c r="A506" t="s">
        <v>3899</v>
      </c>
      <c r="B506" t="s">
        <v>3900</v>
      </c>
      <c r="C506">
        <v>2021</v>
      </c>
      <c r="F506" t="s">
        <v>3901</v>
      </c>
      <c r="H506">
        <v>36</v>
      </c>
      <c r="I506">
        <v>2</v>
      </c>
      <c r="J506" t="s">
        <v>3902</v>
      </c>
      <c r="K506" t="s">
        <v>3903</v>
      </c>
      <c r="L506" t="s">
        <v>3904</v>
      </c>
      <c r="Q506" t="s">
        <v>3905</v>
      </c>
      <c r="R506" t="s">
        <v>3906</v>
      </c>
      <c r="S506" t="s">
        <v>3907</v>
      </c>
    </row>
    <row r="507" spans="1:19" x14ac:dyDescent="0.25">
      <c r="A507" t="s">
        <v>3908</v>
      </c>
      <c r="B507" t="s">
        <v>3909</v>
      </c>
      <c r="C507">
        <v>2011</v>
      </c>
      <c r="F507" t="s">
        <v>131</v>
      </c>
      <c r="H507">
        <v>144</v>
      </c>
      <c r="I507">
        <v>2</v>
      </c>
      <c r="J507" t="s">
        <v>3910</v>
      </c>
      <c r="K507" t="s">
        <v>3911</v>
      </c>
      <c r="L507" t="s">
        <v>3912</v>
      </c>
      <c r="Q507" t="s">
        <v>3913</v>
      </c>
      <c r="R507" t="s">
        <v>3914</v>
      </c>
      <c r="S507" t="s">
        <v>3915</v>
      </c>
    </row>
    <row r="508" spans="1:19" x14ac:dyDescent="0.25">
      <c r="A508" t="s">
        <v>3916</v>
      </c>
      <c r="B508" t="s">
        <v>3917</v>
      </c>
      <c r="C508">
        <v>2018</v>
      </c>
      <c r="F508" t="s">
        <v>576</v>
      </c>
      <c r="H508">
        <v>55</v>
      </c>
      <c r="I508">
        <v>2</v>
      </c>
      <c r="J508" t="s">
        <v>3918</v>
      </c>
      <c r="K508" t="s">
        <v>3919</v>
      </c>
      <c r="L508" t="s">
        <v>3920</v>
      </c>
      <c r="Q508" t="s">
        <v>3921</v>
      </c>
      <c r="R508" t="s">
        <v>3922</v>
      </c>
      <c r="S508" t="s">
        <v>3923</v>
      </c>
    </row>
    <row r="509" spans="1:19" x14ac:dyDescent="0.25">
      <c r="A509" t="s">
        <v>3924</v>
      </c>
      <c r="B509" t="s">
        <v>3925</v>
      </c>
      <c r="C509">
        <v>2016</v>
      </c>
      <c r="F509" t="s">
        <v>58</v>
      </c>
      <c r="H509">
        <v>2</v>
      </c>
      <c r="K509" t="s">
        <v>3926</v>
      </c>
      <c r="L509" t="s">
        <v>3927</v>
      </c>
      <c r="Q509" t="s">
        <v>3928</v>
      </c>
      <c r="R509" t="s">
        <v>3929</v>
      </c>
      <c r="S509" t="s">
        <v>3930</v>
      </c>
    </row>
    <row r="510" spans="1:19" x14ac:dyDescent="0.25">
      <c r="A510" t="s">
        <v>3931</v>
      </c>
      <c r="B510" t="s">
        <v>3932</v>
      </c>
      <c r="C510">
        <v>2002</v>
      </c>
      <c r="F510" t="s">
        <v>140</v>
      </c>
      <c r="H510">
        <v>5</v>
      </c>
      <c r="I510">
        <v>2</v>
      </c>
      <c r="K510" t="s">
        <v>3933</v>
      </c>
      <c r="L510" t="s">
        <v>3934</v>
      </c>
      <c r="Q510" t="s">
        <v>3935</v>
      </c>
      <c r="R510" t="s">
        <v>3936</v>
      </c>
      <c r="S510" t="s">
        <v>3937</v>
      </c>
    </row>
    <row r="511" spans="1:19" x14ac:dyDescent="0.25">
      <c r="A511" t="s">
        <v>3938</v>
      </c>
      <c r="B511" t="s">
        <v>3939</v>
      </c>
      <c r="C511">
        <v>2004</v>
      </c>
      <c r="F511" t="s">
        <v>223</v>
      </c>
      <c r="H511">
        <v>34</v>
      </c>
      <c r="I511">
        <v>6</v>
      </c>
      <c r="J511" t="s">
        <v>3940</v>
      </c>
      <c r="K511" t="s">
        <v>3941</v>
      </c>
      <c r="L511" t="s">
        <v>3942</v>
      </c>
      <c r="Q511" t="s">
        <v>3943</v>
      </c>
      <c r="R511" t="s">
        <v>3944</v>
      </c>
      <c r="S511" t="s">
        <v>3945</v>
      </c>
    </row>
    <row r="512" spans="1:19" x14ac:dyDescent="0.25">
      <c r="A512" t="s">
        <v>3946</v>
      </c>
      <c r="B512" t="s">
        <v>3947</v>
      </c>
      <c r="C512">
        <v>2017</v>
      </c>
      <c r="F512" t="s">
        <v>576</v>
      </c>
      <c r="H512">
        <v>54</v>
      </c>
      <c r="I512">
        <v>3</v>
      </c>
      <c r="J512" t="s">
        <v>3948</v>
      </c>
      <c r="K512" t="s">
        <v>3949</v>
      </c>
      <c r="L512" t="s">
        <v>3950</v>
      </c>
      <c r="Q512" t="s">
        <v>3951</v>
      </c>
      <c r="R512" t="s">
        <v>3952</v>
      </c>
      <c r="S512" t="s">
        <v>3953</v>
      </c>
    </row>
    <row r="513" spans="1:19" x14ac:dyDescent="0.25">
      <c r="A513" t="s">
        <v>3954</v>
      </c>
      <c r="B513" t="s">
        <v>3955</v>
      </c>
      <c r="C513">
        <v>2010</v>
      </c>
      <c r="F513" t="s">
        <v>3956</v>
      </c>
      <c r="I513">
        <v>830</v>
      </c>
      <c r="J513" t="s">
        <v>3957</v>
      </c>
      <c r="K513" t="s">
        <v>3958</v>
      </c>
      <c r="L513" t="s">
        <v>3959</v>
      </c>
      <c r="Q513" t="s">
        <v>3125</v>
      </c>
      <c r="S513" t="s">
        <v>3960</v>
      </c>
    </row>
    <row r="514" spans="1:19" x14ac:dyDescent="0.25">
      <c r="A514" t="s">
        <v>3961</v>
      </c>
      <c r="B514" t="s">
        <v>3962</v>
      </c>
      <c r="C514">
        <v>2008</v>
      </c>
      <c r="F514" t="s">
        <v>3963</v>
      </c>
      <c r="H514">
        <v>83</v>
      </c>
      <c r="J514" t="s">
        <v>3964</v>
      </c>
      <c r="K514" t="s">
        <v>3965</v>
      </c>
      <c r="L514" t="s">
        <v>3966</v>
      </c>
      <c r="Q514" t="s">
        <v>3967</v>
      </c>
    </row>
    <row r="515" spans="1:19" x14ac:dyDescent="0.25">
      <c r="A515" t="s">
        <v>3968</v>
      </c>
      <c r="B515" t="s">
        <v>3969</v>
      </c>
      <c r="C515">
        <v>2020</v>
      </c>
      <c r="F515" t="s">
        <v>1039</v>
      </c>
      <c r="H515">
        <v>45</v>
      </c>
      <c r="J515" t="s">
        <v>3970</v>
      </c>
      <c r="K515" t="s">
        <v>3288</v>
      </c>
      <c r="L515" t="s">
        <v>3971</v>
      </c>
      <c r="Q515" t="s">
        <v>3972</v>
      </c>
      <c r="R515" t="s">
        <v>3973</v>
      </c>
      <c r="S515" t="s">
        <v>3974</v>
      </c>
    </row>
    <row r="516" spans="1:19" x14ac:dyDescent="0.25">
      <c r="A516" t="s">
        <v>3975</v>
      </c>
      <c r="B516" t="s">
        <v>3976</v>
      </c>
      <c r="C516">
        <v>2020</v>
      </c>
      <c r="F516" t="s">
        <v>315</v>
      </c>
      <c r="H516">
        <v>107</v>
      </c>
      <c r="J516" t="s">
        <v>3977</v>
      </c>
      <c r="K516" t="s">
        <v>3978</v>
      </c>
      <c r="L516" t="s">
        <v>3979</v>
      </c>
      <c r="Q516" t="s">
        <v>3980</v>
      </c>
      <c r="R516" t="s">
        <v>3981</v>
      </c>
      <c r="S516" t="s">
        <v>3982</v>
      </c>
    </row>
    <row r="517" spans="1:19" x14ac:dyDescent="0.25">
      <c r="A517" t="s">
        <v>3983</v>
      </c>
      <c r="B517" t="s">
        <v>3984</v>
      </c>
      <c r="C517">
        <v>2004</v>
      </c>
      <c r="F517" t="s">
        <v>1352</v>
      </c>
      <c r="H517">
        <v>31</v>
      </c>
      <c r="I517">
        <v>3</v>
      </c>
      <c r="J517" t="s">
        <v>3985</v>
      </c>
      <c r="K517" t="s">
        <v>3986</v>
      </c>
      <c r="L517" t="s">
        <v>3987</v>
      </c>
      <c r="Q517" t="s">
        <v>3988</v>
      </c>
      <c r="R517" t="s">
        <v>3989</v>
      </c>
      <c r="S517" t="s">
        <v>3990</v>
      </c>
    </row>
    <row r="518" spans="1:19" x14ac:dyDescent="0.25">
      <c r="A518" t="s">
        <v>3991</v>
      </c>
      <c r="B518" t="s">
        <v>3992</v>
      </c>
      <c r="C518">
        <v>2022</v>
      </c>
      <c r="F518" t="s">
        <v>1368</v>
      </c>
      <c r="H518">
        <v>36</v>
      </c>
      <c r="I518">
        <v>4</v>
      </c>
      <c r="K518" t="s">
        <v>3993</v>
      </c>
      <c r="L518" t="s">
        <v>3994</v>
      </c>
      <c r="Q518" t="s">
        <v>3995</v>
      </c>
      <c r="R518" t="s">
        <v>3996</v>
      </c>
      <c r="S518" t="s">
        <v>3997</v>
      </c>
    </row>
    <row r="519" spans="1:19" x14ac:dyDescent="0.25">
      <c r="A519" t="s">
        <v>3998</v>
      </c>
      <c r="B519" t="s">
        <v>3999</v>
      </c>
      <c r="C519">
        <v>2020</v>
      </c>
      <c r="F519" t="s">
        <v>315</v>
      </c>
      <c r="H519">
        <v>113</v>
      </c>
      <c r="J519" t="s">
        <v>4000</v>
      </c>
      <c r="K519" t="s">
        <v>4001</v>
      </c>
      <c r="L519" t="s">
        <v>4002</v>
      </c>
      <c r="Q519" t="s">
        <v>4003</v>
      </c>
      <c r="R519" t="s">
        <v>4004</v>
      </c>
      <c r="S519" t="s">
        <v>4005</v>
      </c>
    </row>
    <row r="520" spans="1:19" x14ac:dyDescent="0.25">
      <c r="A520" t="s">
        <v>4006</v>
      </c>
      <c r="B520" t="s">
        <v>4007</v>
      </c>
      <c r="C520">
        <v>2013</v>
      </c>
      <c r="F520" t="s">
        <v>395</v>
      </c>
      <c r="H520">
        <v>128</v>
      </c>
      <c r="J520" s="2">
        <v>41821</v>
      </c>
      <c r="K520" t="s">
        <v>4008</v>
      </c>
      <c r="L520" t="s">
        <v>4009</v>
      </c>
      <c r="Q520" t="s">
        <v>4010</v>
      </c>
      <c r="R520" t="s">
        <v>4011</v>
      </c>
      <c r="S520" t="s">
        <v>4012</v>
      </c>
    </row>
    <row r="521" spans="1:19" x14ac:dyDescent="0.25">
      <c r="A521" t="s">
        <v>4013</v>
      </c>
      <c r="B521" t="s">
        <v>4014</v>
      </c>
      <c r="C521">
        <v>2010</v>
      </c>
      <c r="F521" t="s">
        <v>4015</v>
      </c>
      <c r="H521">
        <v>55</v>
      </c>
      <c r="J521" t="s">
        <v>4016</v>
      </c>
      <c r="K521" t="s">
        <v>4017</v>
      </c>
      <c r="L521" t="s">
        <v>4018</v>
      </c>
      <c r="Q521" t="s">
        <v>4019</v>
      </c>
      <c r="R521" t="s">
        <v>4020</v>
      </c>
      <c r="S521" t="s">
        <v>4021</v>
      </c>
    </row>
    <row r="522" spans="1:19" x14ac:dyDescent="0.25">
      <c r="A522" t="s">
        <v>4022</v>
      </c>
      <c r="B522" t="s">
        <v>4023</v>
      </c>
      <c r="C522">
        <v>2021</v>
      </c>
      <c r="F522" t="s">
        <v>58</v>
      </c>
      <c r="H522">
        <v>8</v>
      </c>
      <c r="K522" t="s">
        <v>4024</v>
      </c>
      <c r="L522" t="s">
        <v>4025</v>
      </c>
      <c r="Q522" t="s">
        <v>4026</v>
      </c>
      <c r="R522" t="s">
        <v>4027</v>
      </c>
      <c r="S522" t="s">
        <v>4028</v>
      </c>
    </row>
    <row r="523" spans="1:19" x14ac:dyDescent="0.25">
      <c r="A523" t="s">
        <v>4029</v>
      </c>
      <c r="B523" t="s">
        <v>4030</v>
      </c>
      <c r="C523">
        <v>2021</v>
      </c>
      <c r="F523" t="s">
        <v>3862</v>
      </c>
      <c r="H523">
        <v>19</v>
      </c>
      <c r="I523">
        <v>3</v>
      </c>
      <c r="J523" t="s">
        <v>4031</v>
      </c>
      <c r="K523" t="s">
        <v>4032</v>
      </c>
      <c r="L523" t="s">
        <v>4033</v>
      </c>
      <c r="Q523" t="s">
        <v>4034</v>
      </c>
      <c r="R523" t="s">
        <v>4035</v>
      </c>
      <c r="S523" t="s">
        <v>4036</v>
      </c>
    </row>
    <row r="524" spans="1:19" x14ac:dyDescent="0.25">
      <c r="A524" t="s">
        <v>4037</v>
      </c>
      <c r="B524" t="s">
        <v>4038</v>
      </c>
      <c r="C524">
        <v>2024</v>
      </c>
      <c r="F524" t="s">
        <v>4039</v>
      </c>
      <c r="K524" t="s">
        <v>4040</v>
      </c>
      <c r="L524" t="s">
        <v>4041</v>
      </c>
      <c r="Q524" t="s">
        <v>3125</v>
      </c>
      <c r="R524" t="s">
        <v>4042</v>
      </c>
      <c r="S524" t="s">
        <v>4043</v>
      </c>
    </row>
    <row r="525" spans="1:19" x14ac:dyDescent="0.25">
      <c r="A525" t="s">
        <v>4044</v>
      </c>
      <c r="B525" t="s">
        <v>4045</v>
      </c>
      <c r="C525">
        <v>2018</v>
      </c>
      <c r="F525" t="s">
        <v>4046</v>
      </c>
      <c r="H525">
        <v>38</v>
      </c>
      <c r="I525">
        <v>6</v>
      </c>
      <c r="J525" t="s">
        <v>4047</v>
      </c>
      <c r="K525" t="s">
        <v>4048</v>
      </c>
      <c r="L525" t="s">
        <v>4049</v>
      </c>
      <c r="Q525" t="s">
        <v>4050</v>
      </c>
      <c r="R525" t="s">
        <v>4051</v>
      </c>
      <c r="S525" t="s">
        <v>4052</v>
      </c>
    </row>
    <row r="526" spans="1:19" x14ac:dyDescent="0.25">
      <c r="A526" t="s">
        <v>4053</v>
      </c>
      <c r="B526" t="s">
        <v>4054</v>
      </c>
      <c r="C526">
        <v>2023</v>
      </c>
      <c r="F526" t="s">
        <v>42</v>
      </c>
      <c r="H526">
        <v>5</v>
      </c>
      <c r="I526">
        <v>2</v>
      </c>
      <c r="J526" t="s">
        <v>4055</v>
      </c>
      <c r="K526" t="s">
        <v>4056</v>
      </c>
      <c r="L526" t="s">
        <v>4057</v>
      </c>
      <c r="Q526" t="s">
        <v>4058</v>
      </c>
      <c r="R526" t="s">
        <v>4059</v>
      </c>
      <c r="S526" t="s">
        <v>4060</v>
      </c>
    </row>
    <row r="527" spans="1:19" x14ac:dyDescent="0.25">
      <c r="A527" t="s">
        <v>4061</v>
      </c>
      <c r="B527" t="s">
        <v>4062</v>
      </c>
      <c r="C527">
        <v>2018</v>
      </c>
      <c r="F527" t="s">
        <v>4063</v>
      </c>
      <c r="H527">
        <v>24</v>
      </c>
      <c r="I527">
        <v>3</v>
      </c>
      <c r="J527" t="s">
        <v>4064</v>
      </c>
      <c r="K527" t="s">
        <v>4065</v>
      </c>
      <c r="L527" t="s">
        <v>4066</v>
      </c>
      <c r="Q527" t="s">
        <v>2537</v>
      </c>
      <c r="R527" t="s">
        <v>4067</v>
      </c>
      <c r="S527" t="s">
        <v>4068</v>
      </c>
    </row>
    <row r="528" spans="1:19" x14ac:dyDescent="0.25">
      <c r="A528" t="s">
        <v>4069</v>
      </c>
      <c r="B528" t="s">
        <v>4070</v>
      </c>
      <c r="C528">
        <v>2024</v>
      </c>
      <c r="F528" t="s">
        <v>116</v>
      </c>
      <c r="H528">
        <v>79</v>
      </c>
      <c r="K528" t="s">
        <v>4071</v>
      </c>
      <c r="L528" t="s">
        <v>4072</v>
      </c>
      <c r="Q528" t="s">
        <v>1183</v>
      </c>
      <c r="R528" t="s">
        <v>4073</v>
      </c>
      <c r="S528" t="s">
        <v>4074</v>
      </c>
    </row>
    <row r="529" spans="1:19" x14ac:dyDescent="0.25">
      <c r="A529" t="s">
        <v>4075</v>
      </c>
      <c r="B529" t="s">
        <v>4076</v>
      </c>
      <c r="C529">
        <v>2005</v>
      </c>
      <c r="F529" t="s">
        <v>1771</v>
      </c>
      <c r="J529" t="s">
        <v>4077</v>
      </c>
      <c r="K529" t="s">
        <v>4078</v>
      </c>
      <c r="L529" t="s">
        <v>4079</v>
      </c>
      <c r="Q529" t="s">
        <v>4080</v>
      </c>
      <c r="R529" t="s">
        <v>4081</v>
      </c>
      <c r="S529" t="s">
        <v>4082</v>
      </c>
    </row>
    <row r="530" spans="1:19" x14ac:dyDescent="0.25">
      <c r="A530" t="s">
        <v>4083</v>
      </c>
      <c r="B530" t="s">
        <v>4084</v>
      </c>
      <c r="C530">
        <v>2019</v>
      </c>
      <c r="F530" t="s">
        <v>1368</v>
      </c>
      <c r="H530">
        <v>33</v>
      </c>
      <c r="I530">
        <v>5</v>
      </c>
      <c r="J530" t="s">
        <v>4085</v>
      </c>
      <c r="K530" t="s">
        <v>4086</v>
      </c>
      <c r="L530" t="s">
        <v>4087</v>
      </c>
      <c r="Q530" t="s">
        <v>4088</v>
      </c>
      <c r="R530" t="s">
        <v>4089</v>
      </c>
      <c r="S530" t="s">
        <v>4090</v>
      </c>
    </row>
    <row r="531" spans="1:19" x14ac:dyDescent="0.25">
      <c r="A531" t="s">
        <v>4091</v>
      </c>
      <c r="B531" t="s">
        <v>4092</v>
      </c>
      <c r="C531">
        <v>2023</v>
      </c>
      <c r="F531" t="s">
        <v>1709</v>
      </c>
      <c r="H531">
        <v>11</v>
      </c>
      <c r="K531" t="s">
        <v>4093</v>
      </c>
      <c r="L531" t="s">
        <v>4094</v>
      </c>
      <c r="Q531" t="s">
        <v>4095</v>
      </c>
      <c r="R531" t="s">
        <v>4096</v>
      </c>
      <c r="S531" t="s">
        <v>4097</v>
      </c>
    </row>
    <row r="532" spans="1:19" x14ac:dyDescent="0.25">
      <c r="A532" t="s">
        <v>4098</v>
      </c>
      <c r="B532" t="s">
        <v>4099</v>
      </c>
      <c r="C532">
        <v>2022</v>
      </c>
      <c r="F532" t="s">
        <v>4100</v>
      </c>
      <c r="H532">
        <v>72</v>
      </c>
      <c r="I532">
        <v>5</v>
      </c>
      <c r="J532" t="s">
        <v>4101</v>
      </c>
      <c r="K532" t="s">
        <v>4102</v>
      </c>
      <c r="L532" t="s">
        <v>4103</v>
      </c>
      <c r="Q532" t="s">
        <v>3521</v>
      </c>
      <c r="R532" t="s">
        <v>4104</v>
      </c>
      <c r="S532" t="s">
        <v>4105</v>
      </c>
    </row>
    <row r="533" spans="1:19" x14ac:dyDescent="0.25">
      <c r="A533" t="s">
        <v>4106</v>
      </c>
      <c r="B533" t="s">
        <v>4107</v>
      </c>
      <c r="C533">
        <v>2022</v>
      </c>
      <c r="F533" t="s">
        <v>42</v>
      </c>
      <c r="H533">
        <v>4</v>
      </c>
      <c r="I533">
        <v>4</v>
      </c>
      <c r="J533" t="s">
        <v>4108</v>
      </c>
      <c r="K533" t="s">
        <v>4109</v>
      </c>
      <c r="L533" t="s">
        <v>4110</v>
      </c>
      <c r="Q533" t="s">
        <v>2537</v>
      </c>
      <c r="R533" t="s">
        <v>4111</v>
      </c>
      <c r="S533" t="s">
        <v>4112</v>
      </c>
    </row>
    <row r="534" spans="1:19" x14ac:dyDescent="0.25">
      <c r="A534" t="s">
        <v>4113</v>
      </c>
      <c r="B534" t="s">
        <v>4114</v>
      </c>
      <c r="C534">
        <v>2017</v>
      </c>
      <c r="F534" t="s">
        <v>4115</v>
      </c>
      <c r="H534">
        <v>9</v>
      </c>
      <c r="J534" t="s">
        <v>4116</v>
      </c>
      <c r="K534" t="s">
        <v>4117</v>
      </c>
      <c r="L534" t="s">
        <v>4118</v>
      </c>
      <c r="Q534" t="s">
        <v>3609</v>
      </c>
      <c r="R534" t="s">
        <v>4119</v>
      </c>
    </row>
    <row r="535" spans="1:19" x14ac:dyDescent="0.25">
      <c r="A535" t="s">
        <v>4120</v>
      </c>
      <c r="B535" t="s">
        <v>4121</v>
      </c>
      <c r="C535">
        <v>2019</v>
      </c>
      <c r="F535" t="s">
        <v>395</v>
      </c>
      <c r="H535">
        <v>230</v>
      </c>
      <c r="J535" t="s">
        <v>4122</v>
      </c>
      <c r="K535" t="s">
        <v>4123</v>
      </c>
      <c r="L535" t="s">
        <v>4124</v>
      </c>
      <c r="Q535" t="s">
        <v>4125</v>
      </c>
      <c r="R535" t="s">
        <v>4126</v>
      </c>
      <c r="S535" t="s">
        <v>4127</v>
      </c>
    </row>
    <row r="536" spans="1:19" x14ac:dyDescent="0.25">
      <c r="A536" t="s">
        <v>4128</v>
      </c>
      <c r="B536" t="s">
        <v>4129</v>
      </c>
      <c r="C536">
        <v>2021</v>
      </c>
      <c r="F536" t="s">
        <v>131</v>
      </c>
      <c r="H536">
        <v>256</v>
      </c>
      <c r="K536" t="s">
        <v>4130</v>
      </c>
      <c r="L536" t="s">
        <v>4131</v>
      </c>
      <c r="Q536" t="s">
        <v>4132</v>
      </c>
      <c r="R536" t="s">
        <v>4133</v>
      </c>
      <c r="S536" t="s">
        <v>4134</v>
      </c>
    </row>
    <row r="537" spans="1:19" x14ac:dyDescent="0.25">
      <c r="A537" t="s">
        <v>4135</v>
      </c>
      <c r="B537" t="s">
        <v>4136</v>
      </c>
      <c r="C537">
        <v>2024</v>
      </c>
      <c r="F537" t="s">
        <v>1383</v>
      </c>
      <c r="H537">
        <v>3</v>
      </c>
      <c r="I537">
        <v>2</v>
      </c>
      <c r="J537" t="s">
        <v>4137</v>
      </c>
      <c r="K537" t="s">
        <v>4138</v>
      </c>
      <c r="L537" t="s">
        <v>4139</v>
      </c>
      <c r="Q537" t="s">
        <v>2453</v>
      </c>
      <c r="R537" t="s">
        <v>4140</v>
      </c>
      <c r="S537" t="s">
        <v>4141</v>
      </c>
    </row>
    <row r="538" spans="1:19" x14ac:dyDescent="0.25">
      <c r="A538" t="s">
        <v>4142</v>
      </c>
      <c r="B538" t="s">
        <v>4143</v>
      </c>
      <c r="C538">
        <v>2020</v>
      </c>
      <c r="F538" t="s">
        <v>2632</v>
      </c>
      <c r="J538" t="s">
        <v>4144</v>
      </c>
      <c r="K538" t="s">
        <v>4145</v>
      </c>
      <c r="L538" t="s">
        <v>4146</v>
      </c>
      <c r="Q538" t="s">
        <v>2193</v>
      </c>
      <c r="S538" t="s">
        <v>4147</v>
      </c>
    </row>
    <row r="539" spans="1:19" x14ac:dyDescent="0.25">
      <c r="A539" t="s">
        <v>4148</v>
      </c>
      <c r="B539" t="s">
        <v>4149</v>
      </c>
      <c r="C539">
        <v>2020</v>
      </c>
      <c r="F539" t="s">
        <v>458</v>
      </c>
      <c r="H539">
        <v>11</v>
      </c>
      <c r="I539">
        <v>2</v>
      </c>
      <c r="J539" t="s">
        <v>4150</v>
      </c>
      <c r="K539" t="s">
        <v>4151</v>
      </c>
      <c r="L539" t="s">
        <v>4152</v>
      </c>
      <c r="Q539" t="s">
        <v>1934</v>
      </c>
      <c r="R539" t="s">
        <v>4153</v>
      </c>
      <c r="S539" t="s">
        <v>4154</v>
      </c>
    </row>
    <row r="540" spans="1:19" x14ac:dyDescent="0.25">
      <c r="A540" t="s">
        <v>4155</v>
      </c>
      <c r="B540" t="s">
        <v>4156</v>
      </c>
      <c r="C540">
        <v>1997</v>
      </c>
      <c r="F540" t="s">
        <v>4157</v>
      </c>
      <c r="H540">
        <v>34</v>
      </c>
      <c r="I540">
        <v>12</v>
      </c>
      <c r="J540" t="s">
        <v>4158</v>
      </c>
      <c r="K540" t="s">
        <v>4159</v>
      </c>
      <c r="L540" t="s">
        <v>4160</v>
      </c>
      <c r="Q540" t="s">
        <v>3454</v>
      </c>
      <c r="R540" t="s">
        <v>4161</v>
      </c>
      <c r="S540" t="s">
        <v>4162</v>
      </c>
    </row>
    <row r="541" spans="1:19" x14ac:dyDescent="0.25">
      <c r="A541" t="s">
        <v>4163</v>
      </c>
      <c r="B541" t="s">
        <v>4164</v>
      </c>
      <c r="C541">
        <v>2013</v>
      </c>
      <c r="F541" t="s">
        <v>4165</v>
      </c>
      <c r="H541">
        <v>45</v>
      </c>
      <c r="I541">
        <v>2</v>
      </c>
      <c r="J541" t="s">
        <v>4166</v>
      </c>
      <c r="K541" t="s">
        <v>4167</v>
      </c>
      <c r="L541" t="s">
        <v>4168</v>
      </c>
      <c r="Q541" t="s">
        <v>4169</v>
      </c>
      <c r="S541" t="s">
        <v>4170</v>
      </c>
    </row>
    <row r="542" spans="1:19" x14ac:dyDescent="0.25">
      <c r="A542" t="s">
        <v>4171</v>
      </c>
      <c r="B542" t="s">
        <v>4172</v>
      </c>
      <c r="C542">
        <v>2023</v>
      </c>
      <c r="F542" t="s">
        <v>1057</v>
      </c>
      <c r="H542">
        <v>31</v>
      </c>
      <c r="I542">
        <v>4</v>
      </c>
      <c r="K542" t="s">
        <v>4173</v>
      </c>
      <c r="L542" t="s">
        <v>4174</v>
      </c>
      <c r="Q542" t="s">
        <v>1846</v>
      </c>
      <c r="R542" t="s">
        <v>4175</v>
      </c>
      <c r="S542" t="s">
        <v>4176</v>
      </c>
    </row>
    <row r="543" spans="1:19" x14ac:dyDescent="0.25">
      <c r="A543" t="s">
        <v>4177</v>
      </c>
      <c r="B543" t="s">
        <v>4178</v>
      </c>
      <c r="C543">
        <v>2015</v>
      </c>
      <c r="F543" t="s">
        <v>395</v>
      </c>
      <c r="H543">
        <v>149</v>
      </c>
      <c r="J543" t="s">
        <v>4179</v>
      </c>
      <c r="K543" t="s">
        <v>4180</v>
      </c>
      <c r="L543" t="s">
        <v>4181</v>
      </c>
      <c r="Q543" t="s">
        <v>4182</v>
      </c>
      <c r="R543" t="s">
        <v>4183</v>
      </c>
      <c r="S543" t="s">
        <v>4184</v>
      </c>
    </row>
    <row r="544" spans="1:19" x14ac:dyDescent="0.25">
      <c r="A544" t="s">
        <v>4185</v>
      </c>
      <c r="B544" t="s">
        <v>4186</v>
      </c>
      <c r="C544">
        <v>2023</v>
      </c>
      <c r="F544" t="s">
        <v>371</v>
      </c>
      <c r="H544">
        <v>5</v>
      </c>
      <c r="I544">
        <v>12</v>
      </c>
      <c r="K544" t="s">
        <v>4187</v>
      </c>
      <c r="L544" t="s">
        <v>4188</v>
      </c>
      <c r="Q544" t="s">
        <v>4189</v>
      </c>
      <c r="R544" t="s">
        <v>4190</v>
      </c>
      <c r="S544" t="s">
        <v>4191</v>
      </c>
    </row>
    <row r="545" spans="1:19" x14ac:dyDescent="0.25">
      <c r="A545" t="s">
        <v>4192</v>
      </c>
      <c r="B545" t="s">
        <v>4193</v>
      </c>
      <c r="C545">
        <v>2014</v>
      </c>
      <c r="F545" t="s">
        <v>4194</v>
      </c>
      <c r="K545" t="s">
        <v>4195</v>
      </c>
      <c r="L545" t="s">
        <v>4196</v>
      </c>
      <c r="Q545" t="s">
        <v>2050</v>
      </c>
      <c r="S545" t="s">
        <v>4197</v>
      </c>
    </row>
    <row r="546" spans="1:19" x14ac:dyDescent="0.25">
      <c r="A546" t="s">
        <v>4198</v>
      </c>
      <c r="B546" t="s">
        <v>4199</v>
      </c>
      <c r="C546">
        <v>2023</v>
      </c>
      <c r="F546" t="s">
        <v>4200</v>
      </c>
      <c r="H546">
        <v>32</v>
      </c>
      <c r="I546">
        <v>4</v>
      </c>
      <c r="J546" t="s">
        <v>4201</v>
      </c>
      <c r="K546" t="s">
        <v>4202</v>
      </c>
      <c r="L546" t="s">
        <v>4203</v>
      </c>
      <c r="Q546" t="s">
        <v>2335</v>
      </c>
      <c r="R546" t="s">
        <v>4204</v>
      </c>
      <c r="S546" t="s">
        <v>4205</v>
      </c>
    </row>
    <row r="547" spans="1:19" x14ac:dyDescent="0.25">
      <c r="A547" t="s">
        <v>4206</v>
      </c>
      <c r="B547" t="s">
        <v>4207</v>
      </c>
      <c r="C547">
        <v>2023</v>
      </c>
      <c r="F547" t="s">
        <v>124</v>
      </c>
      <c r="H547">
        <v>12</v>
      </c>
      <c r="I547">
        <v>8</v>
      </c>
      <c r="K547" t="s">
        <v>4208</v>
      </c>
      <c r="L547" t="s">
        <v>4209</v>
      </c>
      <c r="Q547" t="s">
        <v>4210</v>
      </c>
      <c r="R547" t="s">
        <v>4211</v>
      </c>
      <c r="S547" t="s">
        <v>4212</v>
      </c>
    </row>
    <row r="548" spans="1:19" x14ac:dyDescent="0.25">
      <c r="A548" t="s">
        <v>4213</v>
      </c>
      <c r="B548" t="s">
        <v>4214</v>
      </c>
      <c r="C548">
        <v>2017</v>
      </c>
      <c r="F548" t="s">
        <v>223</v>
      </c>
      <c r="H548">
        <v>60</v>
      </c>
      <c r="I548">
        <v>3</v>
      </c>
      <c r="J548" t="s">
        <v>4215</v>
      </c>
      <c r="K548" t="s">
        <v>4216</v>
      </c>
      <c r="L548" t="s">
        <v>4217</v>
      </c>
      <c r="Q548" t="s">
        <v>4218</v>
      </c>
      <c r="R548" t="s">
        <v>4219</v>
      </c>
      <c r="S548" t="s">
        <v>4220</v>
      </c>
    </row>
    <row r="549" spans="1:19" x14ac:dyDescent="0.25">
      <c r="A549" t="s">
        <v>4221</v>
      </c>
      <c r="B549" t="s">
        <v>4222</v>
      </c>
      <c r="C549">
        <v>2006</v>
      </c>
      <c r="F549" t="s">
        <v>4223</v>
      </c>
      <c r="H549">
        <v>7</v>
      </c>
      <c r="I549">
        <v>3</v>
      </c>
      <c r="J549" t="s">
        <v>4224</v>
      </c>
      <c r="K549" t="s">
        <v>4225</v>
      </c>
      <c r="L549" t="s">
        <v>4226</v>
      </c>
      <c r="Q549" t="s">
        <v>1620</v>
      </c>
      <c r="R549" t="s">
        <v>4227</v>
      </c>
      <c r="S549" t="s">
        <v>4228</v>
      </c>
    </row>
    <row r="550" spans="1:19" x14ac:dyDescent="0.25">
      <c r="A550" t="s">
        <v>4229</v>
      </c>
      <c r="B550" t="s">
        <v>4230</v>
      </c>
      <c r="C550">
        <v>2022</v>
      </c>
      <c r="F550" t="s">
        <v>131</v>
      </c>
      <c r="H550">
        <v>266</v>
      </c>
      <c r="K550" t="s">
        <v>4231</v>
      </c>
      <c r="L550" t="s">
        <v>4232</v>
      </c>
      <c r="Q550" t="s">
        <v>4233</v>
      </c>
      <c r="R550" t="s">
        <v>4234</v>
      </c>
      <c r="S550" t="s">
        <v>4235</v>
      </c>
    </row>
    <row r="551" spans="1:19" x14ac:dyDescent="0.25">
      <c r="A551" t="s">
        <v>4236</v>
      </c>
      <c r="B551" t="s">
        <v>4237</v>
      </c>
      <c r="C551">
        <v>2021</v>
      </c>
      <c r="F551" t="s">
        <v>4238</v>
      </c>
      <c r="H551">
        <v>88</v>
      </c>
      <c r="K551" t="s">
        <v>4239</v>
      </c>
      <c r="L551" t="s">
        <v>4240</v>
      </c>
      <c r="Q551" t="s">
        <v>4241</v>
      </c>
      <c r="R551" t="s">
        <v>4242</v>
      </c>
      <c r="S551" t="s">
        <v>4243</v>
      </c>
    </row>
    <row r="552" spans="1:19" x14ac:dyDescent="0.25">
      <c r="A552" t="s">
        <v>4244</v>
      </c>
      <c r="B552" t="s">
        <v>4245</v>
      </c>
      <c r="C552">
        <v>2020</v>
      </c>
      <c r="F552" t="s">
        <v>371</v>
      </c>
      <c r="H552">
        <v>2</v>
      </c>
      <c r="I552">
        <v>2</v>
      </c>
      <c r="K552" t="s">
        <v>4246</v>
      </c>
      <c r="L552" t="s">
        <v>4247</v>
      </c>
      <c r="Q552" t="s">
        <v>4248</v>
      </c>
      <c r="R552" t="s">
        <v>4249</v>
      </c>
      <c r="S552" t="s">
        <v>4250</v>
      </c>
    </row>
    <row r="553" spans="1:19" x14ac:dyDescent="0.25">
      <c r="A553" t="s">
        <v>4251</v>
      </c>
      <c r="B553" t="s">
        <v>4252</v>
      </c>
      <c r="C553">
        <v>2007</v>
      </c>
      <c r="F553" t="s">
        <v>1352</v>
      </c>
      <c r="H553">
        <v>34</v>
      </c>
      <c r="I553">
        <v>2</v>
      </c>
      <c r="J553" t="s">
        <v>4253</v>
      </c>
      <c r="K553" t="s">
        <v>4254</v>
      </c>
      <c r="L553" t="s">
        <v>4255</v>
      </c>
      <c r="Q553" t="s">
        <v>4256</v>
      </c>
      <c r="R553" t="s">
        <v>4257</v>
      </c>
      <c r="S553" t="s">
        <v>4258</v>
      </c>
    </row>
    <row r="554" spans="1:19" x14ac:dyDescent="0.25">
      <c r="A554" t="s">
        <v>4259</v>
      </c>
      <c r="B554" t="s">
        <v>4260</v>
      </c>
      <c r="C554">
        <v>2021</v>
      </c>
      <c r="F554" t="s">
        <v>1213</v>
      </c>
      <c r="H554">
        <v>19</v>
      </c>
      <c r="I554">
        <v>10</v>
      </c>
      <c r="K554" t="s">
        <v>4261</v>
      </c>
      <c r="L554" t="s">
        <v>4262</v>
      </c>
      <c r="Q554" t="s">
        <v>4263</v>
      </c>
      <c r="R554" t="s">
        <v>4264</v>
      </c>
      <c r="S554" t="s">
        <v>4265</v>
      </c>
    </row>
    <row r="555" spans="1:19" x14ac:dyDescent="0.25">
      <c r="A555" t="s">
        <v>4266</v>
      </c>
      <c r="B555" t="s">
        <v>4267</v>
      </c>
      <c r="C555">
        <v>2008</v>
      </c>
      <c r="F555" t="s">
        <v>1368</v>
      </c>
      <c r="H555">
        <v>22</v>
      </c>
      <c r="I555">
        <v>6</v>
      </c>
      <c r="J555" t="s">
        <v>4268</v>
      </c>
      <c r="K555" t="s">
        <v>4269</v>
      </c>
      <c r="L555" t="s">
        <v>4270</v>
      </c>
      <c r="Q555" t="s">
        <v>4271</v>
      </c>
      <c r="R555" t="s">
        <v>4272</v>
      </c>
      <c r="S555" t="s">
        <v>4273</v>
      </c>
    </row>
    <row r="556" spans="1:19" x14ac:dyDescent="0.25">
      <c r="A556" t="s">
        <v>4274</v>
      </c>
      <c r="B556" t="s">
        <v>4275</v>
      </c>
      <c r="C556">
        <v>1998</v>
      </c>
      <c r="F556" t="s">
        <v>678</v>
      </c>
      <c r="H556">
        <v>22</v>
      </c>
      <c r="I556">
        <v>3</v>
      </c>
      <c r="J556" t="s">
        <v>4276</v>
      </c>
      <c r="K556" t="s">
        <v>4277</v>
      </c>
      <c r="L556" t="s">
        <v>4278</v>
      </c>
      <c r="Q556" t="s">
        <v>1534</v>
      </c>
      <c r="R556" t="s">
        <v>4279</v>
      </c>
      <c r="S556" t="s">
        <v>4280</v>
      </c>
    </row>
    <row r="557" spans="1:19" x14ac:dyDescent="0.25">
      <c r="A557" t="s">
        <v>4281</v>
      </c>
      <c r="B557" t="s">
        <v>4282</v>
      </c>
      <c r="C557">
        <v>2012</v>
      </c>
      <c r="F557" t="s">
        <v>4283</v>
      </c>
      <c r="J557">
        <v>1</v>
      </c>
      <c r="K557" t="s">
        <v>4284</v>
      </c>
      <c r="L557" t="s">
        <v>4285</v>
      </c>
      <c r="Q557" t="s">
        <v>4286</v>
      </c>
    </row>
    <row r="558" spans="1:19" x14ac:dyDescent="0.25">
      <c r="A558" t="s">
        <v>4287</v>
      </c>
      <c r="B558" t="s">
        <v>4288</v>
      </c>
      <c r="C558">
        <v>2022</v>
      </c>
      <c r="F558" t="s">
        <v>2006</v>
      </c>
      <c r="H558">
        <v>17</v>
      </c>
      <c r="I558">
        <v>4</v>
      </c>
      <c r="K558" t="s">
        <v>4289</v>
      </c>
      <c r="L558" t="s">
        <v>4290</v>
      </c>
      <c r="Q558" t="s">
        <v>3550</v>
      </c>
      <c r="R558" t="s">
        <v>4291</v>
      </c>
      <c r="S558" t="s">
        <v>4292</v>
      </c>
    </row>
    <row r="559" spans="1:19" x14ac:dyDescent="0.25">
      <c r="A559" t="s">
        <v>4293</v>
      </c>
      <c r="B559" t="s">
        <v>4294</v>
      </c>
      <c r="C559">
        <v>2015</v>
      </c>
      <c r="F559" t="s">
        <v>2683</v>
      </c>
      <c r="H559">
        <v>370</v>
      </c>
      <c r="I559">
        <v>1681</v>
      </c>
      <c r="K559" t="s">
        <v>4295</v>
      </c>
      <c r="L559" t="s">
        <v>4296</v>
      </c>
      <c r="Q559" t="s">
        <v>4297</v>
      </c>
      <c r="R559" t="s">
        <v>4298</v>
      </c>
      <c r="S559" t="s">
        <v>4299</v>
      </c>
    </row>
    <row r="560" spans="1:19" x14ac:dyDescent="0.25">
      <c r="A560" t="s">
        <v>4300</v>
      </c>
      <c r="B560" t="s">
        <v>4301</v>
      </c>
      <c r="C560">
        <v>2019</v>
      </c>
      <c r="F560" t="s">
        <v>42</v>
      </c>
      <c r="H560">
        <v>1</v>
      </c>
      <c r="I560">
        <v>3</v>
      </c>
      <c r="J560" t="s">
        <v>4302</v>
      </c>
      <c r="K560" t="s">
        <v>4303</v>
      </c>
      <c r="L560" t="s">
        <v>4304</v>
      </c>
      <c r="Q560" t="s">
        <v>4305</v>
      </c>
      <c r="R560" t="s">
        <v>4306</v>
      </c>
      <c r="S560" t="s">
        <v>4307</v>
      </c>
    </row>
    <row r="561" spans="1:19" x14ac:dyDescent="0.25">
      <c r="A561" t="s">
        <v>4308</v>
      </c>
      <c r="B561" t="s">
        <v>4309</v>
      </c>
      <c r="C561">
        <v>2022</v>
      </c>
      <c r="F561" t="s">
        <v>1817</v>
      </c>
      <c r="H561">
        <v>145</v>
      </c>
      <c r="K561" t="s">
        <v>4310</v>
      </c>
      <c r="L561" t="s">
        <v>4311</v>
      </c>
      <c r="Q561" t="s">
        <v>1304</v>
      </c>
      <c r="R561" t="s">
        <v>4312</v>
      </c>
      <c r="S561" t="s">
        <v>4313</v>
      </c>
    </row>
    <row r="562" spans="1:19" x14ac:dyDescent="0.25">
      <c r="A562" t="s">
        <v>4314</v>
      </c>
      <c r="B562" t="s">
        <v>4315</v>
      </c>
      <c r="C562">
        <v>2017</v>
      </c>
      <c r="F562" t="s">
        <v>1139</v>
      </c>
      <c r="H562">
        <v>138</v>
      </c>
      <c r="J562" t="s">
        <v>4316</v>
      </c>
      <c r="K562" t="s">
        <v>4317</v>
      </c>
      <c r="L562" t="s">
        <v>4318</v>
      </c>
      <c r="Q562" t="s">
        <v>4319</v>
      </c>
      <c r="R562" t="s">
        <v>4320</v>
      </c>
      <c r="S562" t="s">
        <v>4321</v>
      </c>
    </row>
    <row r="563" spans="1:19" x14ac:dyDescent="0.25">
      <c r="A563" t="s">
        <v>4322</v>
      </c>
      <c r="B563" t="s">
        <v>4323</v>
      </c>
      <c r="C563">
        <v>2011</v>
      </c>
      <c r="F563" t="s">
        <v>1368</v>
      </c>
      <c r="H563">
        <v>25</v>
      </c>
      <c r="I563">
        <v>5</v>
      </c>
      <c r="J563" t="s">
        <v>4324</v>
      </c>
      <c r="K563" t="s">
        <v>4325</v>
      </c>
      <c r="L563" t="s">
        <v>4326</v>
      </c>
      <c r="Q563" t="s">
        <v>4327</v>
      </c>
      <c r="R563" t="s">
        <v>4328</v>
      </c>
      <c r="S563" t="s">
        <v>4329</v>
      </c>
    </row>
    <row r="564" spans="1:19" x14ac:dyDescent="0.25">
      <c r="A564" t="s">
        <v>4330</v>
      </c>
      <c r="B564" t="s">
        <v>4331</v>
      </c>
      <c r="C564">
        <v>2017</v>
      </c>
      <c r="F564" t="s">
        <v>2055</v>
      </c>
      <c r="H564">
        <v>27</v>
      </c>
      <c r="I564">
        <v>1</v>
      </c>
      <c r="J564" t="s">
        <v>4332</v>
      </c>
      <c r="K564" t="s">
        <v>4333</v>
      </c>
      <c r="L564" t="s">
        <v>4334</v>
      </c>
      <c r="Q564" t="s">
        <v>4335</v>
      </c>
      <c r="R564" t="s">
        <v>4336</v>
      </c>
      <c r="S564" t="s">
        <v>4337</v>
      </c>
    </row>
    <row r="565" spans="1:19" x14ac:dyDescent="0.25">
      <c r="A565" t="s">
        <v>4338</v>
      </c>
      <c r="B565" t="s">
        <v>4339</v>
      </c>
      <c r="C565">
        <v>2024</v>
      </c>
      <c r="F565" t="s">
        <v>4340</v>
      </c>
      <c r="H565">
        <v>44</v>
      </c>
      <c r="I565">
        <v>13</v>
      </c>
      <c r="J565" t="s">
        <v>4341</v>
      </c>
      <c r="K565" t="s">
        <v>4342</v>
      </c>
      <c r="L565" t="s">
        <v>4343</v>
      </c>
      <c r="Q565" t="s">
        <v>2050</v>
      </c>
      <c r="R565" t="s">
        <v>4344</v>
      </c>
      <c r="S565" t="s">
        <v>4345</v>
      </c>
    </row>
    <row r="566" spans="1:19" x14ac:dyDescent="0.25">
      <c r="A566" t="s">
        <v>4346</v>
      </c>
      <c r="B566" t="s">
        <v>4347</v>
      </c>
      <c r="C566">
        <v>2024</v>
      </c>
      <c r="F566" t="s">
        <v>58</v>
      </c>
      <c r="H566">
        <v>11</v>
      </c>
      <c r="K566" t="s">
        <v>4348</v>
      </c>
      <c r="L566" t="s">
        <v>4349</v>
      </c>
      <c r="Q566" t="s">
        <v>1486</v>
      </c>
      <c r="R566" t="s">
        <v>4350</v>
      </c>
      <c r="S566" t="s">
        <v>4351</v>
      </c>
    </row>
    <row r="567" spans="1:19" x14ac:dyDescent="0.25">
      <c r="A567" t="s">
        <v>4352</v>
      </c>
      <c r="B567" t="s">
        <v>4353</v>
      </c>
      <c r="C567">
        <v>2020</v>
      </c>
      <c r="F567" t="s">
        <v>58</v>
      </c>
      <c r="H567">
        <v>7</v>
      </c>
      <c r="K567" t="s">
        <v>4354</v>
      </c>
      <c r="L567" t="s">
        <v>4355</v>
      </c>
      <c r="Q567" t="s">
        <v>4356</v>
      </c>
      <c r="R567" t="s">
        <v>4357</v>
      </c>
      <c r="S567" t="s">
        <v>4358</v>
      </c>
    </row>
    <row r="568" spans="1:19" x14ac:dyDescent="0.25">
      <c r="A568" t="s">
        <v>4359</v>
      </c>
      <c r="B568" t="s">
        <v>4360</v>
      </c>
      <c r="C568">
        <v>2022</v>
      </c>
      <c r="F568" t="s">
        <v>3153</v>
      </c>
      <c r="H568">
        <v>56</v>
      </c>
      <c r="I568">
        <v>2</v>
      </c>
      <c r="J568" t="s">
        <v>4361</v>
      </c>
      <c r="K568" t="s">
        <v>4362</v>
      </c>
      <c r="L568" t="s">
        <v>4363</v>
      </c>
      <c r="Q568" t="s">
        <v>4364</v>
      </c>
      <c r="R568" t="s">
        <v>4365</v>
      </c>
      <c r="S568" t="s">
        <v>4366</v>
      </c>
    </row>
    <row r="569" spans="1:19" x14ac:dyDescent="0.25">
      <c r="A569" t="s">
        <v>4367</v>
      </c>
      <c r="B569" t="s">
        <v>4368</v>
      </c>
      <c r="C569">
        <v>2023</v>
      </c>
      <c r="F569" t="s">
        <v>1709</v>
      </c>
      <c r="H569">
        <v>11</v>
      </c>
      <c r="K569" t="s">
        <v>4369</v>
      </c>
      <c r="L569" t="s">
        <v>4370</v>
      </c>
      <c r="Q569" t="s">
        <v>1985</v>
      </c>
      <c r="R569" t="s">
        <v>4371</v>
      </c>
      <c r="S569" t="s">
        <v>4372</v>
      </c>
    </row>
    <row r="570" spans="1:19" x14ac:dyDescent="0.25">
      <c r="A570" t="s">
        <v>4373</v>
      </c>
      <c r="B570" t="s">
        <v>4374</v>
      </c>
      <c r="C570">
        <v>2019</v>
      </c>
      <c r="F570" t="s">
        <v>131</v>
      </c>
      <c r="H570">
        <v>238</v>
      </c>
      <c r="K570" t="s">
        <v>4375</v>
      </c>
      <c r="L570" t="s">
        <v>4376</v>
      </c>
      <c r="Q570" t="s">
        <v>4377</v>
      </c>
      <c r="R570" t="s">
        <v>4378</v>
      </c>
      <c r="S570" t="s">
        <v>4379</v>
      </c>
    </row>
    <row r="571" spans="1:19" x14ac:dyDescent="0.25">
      <c r="A571" t="s">
        <v>4380</v>
      </c>
      <c r="B571" t="s">
        <v>4381</v>
      </c>
      <c r="C571">
        <v>2021</v>
      </c>
      <c r="F571" t="s">
        <v>131</v>
      </c>
      <c r="H571">
        <v>257</v>
      </c>
      <c r="K571" t="s">
        <v>4382</v>
      </c>
      <c r="L571" t="s">
        <v>4383</v>
      </c>
      <c r="Q571" t="s">
        <v>4384</v>
      </c>
      <c r="R571" t="s">
        <v>4385</v>
      </c>
      <c r="S571" t="s">
        <v>4386</v>
      </c>
    </row>
    <row r="572" spans="1:19" x14ac:dyDescent="0.25">
      <c r="A572" t="s">
        <v>4387</v>
      </c>
      <c r="B572" t="s">
        <v>4388</v>
      </c>
      <c r="C572">
        <v>2022</v>
      </c>
      <c r="F572" t="s">
        <v>475</v>
      </c>
      <c r="H572">
        <v>121</v>
      </c>
      <c r="K572" t="s">
        <v>4389</v>
      </c>
      <c r="L572" t="s">
        <v>4390</v>
      </c>
      <c r="Q572" t="s">
        <v>2537</v>
      </c>
      <c r="R572" t="s">
        <v>4391</v>
      </c>
      <c r="S572" t="s">
        <v>4392</v>
      </c>
    </row>
    <row r="573" spans="1:19" x14ac:dyDescent="0.25">
      <c r="A573" t="s">
        <v>4393</v>
      </c>
      <c r="B573" t="s">
        <v>4394</v>
      </c>
      <c r="C573">
        <v>2017</v>
      </c>
      <c r="F573" t="s">
        <v>1368</v>
      </c>
      <c r="H573">
        <v>31</v>
      </c>
      <c r="I573">
        <v>3</v>
      </c>
      <c r="J573" t="s">
        <v>4395</v>
      </c>
      <c r="K573" t="s">
        <v>4086</v>
      </c>
      <c r="L573" t="s">
        <v>4396</v>
      </c>
      <c r="Q573" t="s">
        <v>4397</v>
      </c>
      <c r="R573" t="s">
        <v>4398</v>
      </c>
      <c r="S573" t="s">
        <v>4399</v>
      </c>
    </row>
    <row r="574" spans="1:19" x14ac:dyDescent="0.25">
      <c r="A574" t="s">
        <v>4400</v>
      </c>
      <c r="B574" t="s">
        <v>4401</v>
      </c>
      <c r="C574">
        <v>2013</v>
      </c>
      <c r="F574" t="s">
        <v>1188</v>
      </c>
      <c r="H574">
        <v>81</v>
      </c>
      <c r="J574" s="1">
        <v>46174</v>
      </c>
      <c r="K574" t="s">
        <v>4402</v>
      </c>
      <c r="L574" t="s">
        <v>4403</v>
      </c>
      <c r="Q574" t="s">
        <v>2481</v>
      </c>
      <c r="R574" t="s">
        <v>4404</v>
      </c>
      <c r="S574" t="s">
        <v>4405</v>
      </c>
    </row>
    <row r="575" spans="1:19" x14ac:dyDescent="0.25">
      <c r="A575" t="s">
        <v>4406</v>
      </c>
      <c r="B575" t="s">
        <v>4407</v>
      </c>
      <c r="C575">
        <v>2019</v>
      </c>
      <c r="F575" t="s">
        <v>131</v>
      </c>
      <c r="H575">
        <v>238</v>
      </c>
      <c r="K575" t="s">
        <v>4408</v>
      </c>
      <c r="L575" t="s">
        <v>4409</v>
      </c>
      <c r="Q575" t="s">
        <v>4410</v>
      </c>
      <c r="R575" t="s">
        <v>4411</v>
      </c>
      <c r="S575" t="s">
        <v>4412</v>
      </c>
    </row>
    <row r="576" spans="1:19" x14ac:dyDescent="0.25">
      <c r="A576" t="s">
        <v>4413</v>
      </c>
      <c r="B576" t="s">
        <v>4414</v>
      </c>
      <c r="C576">
        <v>1997</v>
      </c>
      <c r="F576" t="s">
        <v>4415</v>
      </c>
      <c r="H576">
        <v>352</v>
      </c>
      <c r="I576">
        <v>1</v>
      </c>
      <c r="J576" t="s">
        <v>4416</v>
      </c>
      <c r="K576" t="s">
        <v>4417</v>
      </c>
      <c r="L576" t="s">
        <v>4418</v>
      </c>
      <c r="Q576" t="s">
        <v>4419</v>
      </c>
      <c r="S576" t="s">
        <v>4420</v>
      </c>
    </row>
    <row r="577" spans="1:19" x14ac:dyDescent="0.25">
      <c r="A577" t="s">
        <v>4421</v>
      </c>
      <c r="B577" t="s">
        <v>4422</v>
      </c>
      <c r="C577">
        <v>2015</v>
      </c>
      <c r="F577" t="s">
        <v>678</v>
      </c>
      <c r="H577">
        <v>59</v>
      </c>
      <c r="J577" t="s">
        <v>4423</v>
      </c>
      <c r="K577" t="s">
        <v>4424</v>
      </c>
      <c r="L577" t="s">
        <v>4425</v>
      </c>
      <c r="Q577" t="s">
        <v>4426</v>
      </c>
      <c r="R577" t="s">
        <v>4427</v>
      </c>
      <c r="S577" t="s">
        <v>4428</v>
      </c>
    </row>
    <row r="578" spans="1:19" x14ac:dyDescent="0.25">
      <c r="A578" t="s">
        <v>4429</v>
      </c>
      <c r="B578" t="s">
        <v>4430</v>
      </c>
      <c r="C578">
        <v>2014</v>
      </c>
      <c r="F578" t="s">
        <v>4431</v>
      </c>
      <c r="H578">
        <v>17</v>
      </c>
      <c r="I578">
        <v>4</v>
      </c>
      <c r="J578" t="s">
        <v>4432</v>
      </c>
      <c r="K578" t="s">
        <v>4433</v>
      </c>
      <c r="L578" t="s">
        <v>4434</v>
      </c>
      <c r="Q578" t="s">
        <v>4435</v>
      </c>
      <c r="R578" t="s">
        <v>4436</v>
      </c>
      <c r="S578" t="s">
        <v>4437</v>
      </c>
    </row>
    <row r="579" spans="1:19" x14ac:dyDescent="0.25">
      <c r="A579" t="s">
        <v>4438</v>
      </c>
      <c r="B579" t="s">
        <v>4439</v>
      </c>
      <c r="C579">
        <v>2022</v>
      </c>
      <c r="F579" t="s">
        <v>116</v>
      </c>
      <c r="H579">
        <v>67</v>
      </c>
      <c r="K579" t="s">
        <v>4440</v>
      </c>
      <c r="L579" t="s">
        <v>4441</v>
      </c>
      <c r="Q579" t="s">
        <v>4442</v>
      </c>
      <c r="R579" t="s">
        <v>4443</v>
      </c>
      <c r="S579" t="s">
        <v>4444</v>
      </c>
    </row>
    <row r="580" spans="1:19" x14ac:dyDescent="0.25">
      <c r="A580" t="s">
        <v>4445</v>
      </c>
      <c r="B580" t="s">
        <v>4446</v>
      </c>
      <c r="C580">
        <v>2016</v>
      </c>
      <c r="F580" t="s">
        <v>410</v>
      </c>
      <c r="H580">
        <v>42</v>
      </c>
      <c r="I580">
        <v>6</v>
      </c>
      <c r="J580" t="s">
        <v>4447</v>
      </c>
      <c r="K580" t="s">
        <v>4448</v>
      </c>
      <c r="L580" t="s">
        <v>4449</v>
      </c>
      <c r="Q580" t="s">
        <v>4450</v>
      </c>
      <c r="R580" t="s">
        <v>4451</v>
      </c>
      <c r="S580" t="s">
        <v>4452</v>
      </c>
    </row>
    <row r="581" spans="1:19" x14ac:dyDescent="0.25">
      <c r="A581" t="s">
        <v>4453</v>
      </c>
      <c r="B581" t="s">
        <v>4454</v>
      </c>
      <c r="C581">
        <v>2015</v>
      </c>
      <c r="F581" t="s">
        <v>1891</v>
      </c>
      <c r="H581">
        <v>8</v>
      </c>
      <c r="I581">
        <v>2</v>
      </c>
      <c r="J581" t="s">
        <v>4455</v>
      </c>
      <c r="K581" t="s">
        <v>4456</v>
      </c>
      <c r="L581" t="s">
        <v>4457</v>
      </c>
      <c r="Q581" t="s">
        <v>4458</v>
      </c>
      <c r="R581" t="s">
        <v>4459</v>
      </c>
      <c r="S581" t="s">
        <v>4460</v>
      </c>
    </row>
    <row r="582" spans="1:19" x14ac:dyDescent="0.25">
      <c r="A582" t="s">
        <v>4461</v>
      </c>
      <c r="B582" t="s">
        <v>4462</v>
      </c>
      <c r="C582">
        <v>2014</v>
      </c>
      <c r="F582" t="s">
        <v>140</v>
      </c>
      <c r="H582">
        <v>19</v>
      </c>
      <c r="I582">
        <v>4</v>
      </c>
      <c r="K582" t="s">
        <v>4463</v>
      </c>
      <c r="L582" t="s">
        <v>4464</v>
      </c>
      <c r="Q582" t="s">
        <v>4465</v>
      </c>
      <c r="R582" t="s">
        <v>4466</v>
      </c>
      <c r="S582" t="s">
        <v>4467</v>
      </c>
    </row>
    <row r="583" spans="1:19" x14ac:dyDescent="0.25">
      <c r="A583" t="s">
        <v>4468</v>
      </c>
      <c r="B583" t="s">
        <v>4469</v>
      </c>
      <c r="C583">
        <v>2018</v>
      </c>
      <c r="F583" t="s">
        <v>131</v>
      </c>
      <c r="H583">
        <v>223</v>
      </c>
      <c r="J583" t="s">
        <v>4470</v>
      </c>
      <c r="K583" t="s">
        <v>4471</v>
      </c>
      <c r="L583" t="s">
        <v>4472</v>
      </c>
      <c r="Q583" t="s">
        <v>3717</v>
      </c>
      <c r="R583" t="s">
        <v>4473</v>
      </c>
      <c r="S583" t="s">
        <v>4474</v>
      </c>
    </row>
    <row r="584" spans="1:19" x14ac:dyDescent="0.25">
      <c r="A584" t="s">
        <v>4475</v>
      </c>
      <c r="B584" t="s">
        <v>4476</v>
      </c>
      <c r="C584">
        <v>2019</v>
      </c>
      <c r="F584" t="s">
        <v>1891</v>
      </c>
      <c r="H584">
        <v>12</v>
      </c>
      <c r="I584">
        <v>2</v>
      </c>
      <c r="K584" t="s">
        <v>4086</v>
      </c>
      <c r="L584" t="s">
        <v>4477</v>
      </c>
      <c r="Q584" t="s">
        <v>3928</v>
      </c>
      <c r="R584" t="s">
        <v>4478</v>
      </c>
      <c r="S584" t="s">
        <v>4479</v>
      </c>
    </row>
    <row r="585" spans="1:19" x14ac:dyDescent="0.25">
      <c r="A585" t="s">
        <v>4480</v>
      </c>
      <c r="B585" t="s">
        <v>4481</v>
      </c>
      <c r="C585">
        <v>2015</v>
      </c>
      <c r="F585" t="s">
        <v>3153</v>
      </c>
      <c r="H585">
        <v>49</v>
      </c>
      <c r="I585">
        <v>1</v>
      </c>
      <c r="J585" t="s">
        <v>4482</v>
      </c>
      <c r="K585" t="s">
        <v>4483</v>
      </c>
      <c r="L585" t="s">
        <v>4484</v>
      </c>
      <c r="Q585" t="s">
        <v>4485</v>
      </c>
      <c r="R585" t="s">
        <v>4486</v>
      </c>
      <c r="S585" t="s">
        <v>4487</v>
      </c>
    </row>
    <row r="586" spans="1:19" x14ac:dyDescent="0.25">
      <c r="A586" t="s">
        <v>4488</v>
      </c>
      <c r="B586" t="s">
        <v>4489</v>
      </c>
      <c r="C586">
        <v>2022</v>
      </c>
      <c r="F586" t="s">
        <v>1180</v>
      </c>
      <c r="H586">
        <v>105</v>
      </c>
      <c r="I586">
        <v>12</v>
      </c>
      <c r="J586" t="s">
        <v>4490</v>
      </c>
      <c r="K586" t="s">
        <v>4491</v>
      </c>
      <c r="L586" t="s">
        <v>4492</v>
      </c>
      <c r="Q586" t="s">
        <v>4493</v>
      </c>
      <c r="R586" t="s">
        <v>4494</v>
      </c>
      <c r="S586" t="s">
        <v>4495</v>
      </c>
    </row>
    <row r="587" spans="1:19" x14ac:dyDescent="0.25">
      <c r="A587" t="s">
        <v>4496</v>
      </c>
      <c r="B587" t="s">
        <v>4497</v>
      </c>
      <c r="C587">
        <v>2012</v>
      </c>
      <c r="F587" t="s">
        <v>1205</v>
      </c>
      <c r="H587">
        <v>37</v>
      </c>
      <c r="I587">
        <v>3</v>
      </c>
      <c r="J587" t="s">
        <v>4498</v>
      </c>
      <c r="K587" t="s">
        <v>4499</v>
      </c>
      <c r="L587" t="s">
        <v>4500</v>
      </c>
      <c r="Q587" t="s">
        <v>4501</v>
      </c>
      <c r="R587" t="s">
        <v>4502</v>
      </c>
      <c r="S587" t="s">
        <v>4503</v>
      </c>
    </row>
    <row r="588" spans="1:19" x14ac:dyDescent="0.25">
      <c r="A588" t="s">
        <v>4504</v>
      </c>
      <c r="B588" t="s">
        <v>4505</v>
      </c>
      <c r="C588">
        <v>2021</v>
      </c>
      <c r="F588" t="s">
        <v>1817</v>
      </c>
      <c r="H588">
        <v>132</v>
      </c>
      <c r="K588" t="s">
        <v>4506</v>
      </c>
      <c r="L588" t="s">
        <v>4507</v>
      </c>
      <c r="Q588" t="s">
        <v>4508</v>
      </c>
      <c r="R588" t="s">
        <v>4509</v>
      </c>
      <c r="S588" t="s">
        <v>4510</v>
      </c>
    </row>
    <row r="589" spans="1:19" x14ac:dyDescent="0.25">
      <c r="A589" t="s">
        <v>4511</v>
      </c>
      <c r="B589" t="s">
        <v>4512</v>
      </c>
      <c r="C589">
        <v>2019</v>
      </c>
      <c r="F589" t="s">
        <v>1188</v>
      </c>
      <c r="H589">
        <v>167</v>
      </c>
      <c r="J589" t="s">
        <v>4513</v>
      </c>
      <c r="K589" t="s">
        <v>4514</v>
      </c>
      <c r="L589" t="s">
        <v>4515</v>
      </c>
      <c r="Q589" t="s">
        <v>3747</v>
      </c>
      <c r="R589" t="s">
        <v>4516</v>
      </c>
      <c r="S589" t="s">
        <v>4517</v>
      </c>
    </row>
    <row r="590" spans="1:19" x14ac:dyDescent="0.25">
      <c r="A590" t="s">
        <v>4518</v>
      </c>
      <c r="B590" t="s">
        <v>4519</v>
      </c>
      <c r="C590">
        <v>2013</v>
      </c>
      <c r="F590" t="s">
        <v>4520</v>
      </c>
      <c r="I590">
        <v>304</v>
      </c>
      <c r="J590" t="s">
        <v>4521</v>
      </c>
      <c r="K590" t="s">
        <v>4522</v>
      </c>
      <c r="L590" t="s">
        <v>4523</v>
      </c>
      <c r="Q590" t="s">
        <v>4210</v>
      </c>
      <c r="S590" t="s">
        <v>4524</v>
      </c>
    </row>
    <row r="591" spans="1:19" x14ac:dyDescent="0.25">
      <c r="A591" t="s">
        <v>4525</v>
      </c>
      <c r="B591" t="s">
        <v>4526</v>
      </c>
      <c r="C591">
        <v>2024</v>
      </c>
      <c r="F591" t="s">
        <v>419</v>
      </c>
      <c r="H591">
        <v>947</v>
      </c>
      <c r="K591" t="s">
        <v>4527</v>
      </c>
      <c r="L591" t="s">
        <v>4528</v>
      </c>
      <c r="Q591" t="s">
        <v>4529</v>
      </c>
      <c r="R591" t="s">
        <v>4530</v>
      </c>
      <c r="S591" t="s">
        <v>4531</v>
      </c>
    </row>
    <row r="592" spans="1:19" x14ac:dyDescent="0.25">
      <c r="A592" t="s">
        <v>4532</v>
      </c>
      <c r="B592" t="s">
        <v>4533</v>
      </c>
      <c r="C592">
        <v>2016</v>
      </c>
      <c r="F592" t="s">
        <v>131</v>
      </c>
      <c r="H592">
        <v>195</v>
      </c>
      <c r="J592" t="s">
        <v>4534</v>
      </c>
      <c r="K592" t="s">
        <v>4535</v>
      </c>
      <c r="L592" t="s">
        <v>4536</v>
      </c>
      <c r="Q592" t="s">
        <v>4537</v>
      </c>
      <c r="R592" t="s">
        <v>4538</v>
      </c>
    </row>
    <row r="593" spans="1:19" x14ac:dyDescent="0.25">
      <c r="A593" t="s">
        <v>4539</v>
      </c>
      <c r="B593" t="s">
        <v>4540</v>
      </c>
      <c r="C593">
        <v>2020</v>
      </c>
      <c r="F593" t="s">
        <v>131</v>
      </c>
      <c r="H593">
        <v>245</v>
      </c>
      <c r="K593" t="s">
        <v>4541</v>
      </c>
      <c r="L593" t="s">
        <v>4542</v>
      </c>
      <c r="Q593" t="s">
        <v>4543</v>
      </c>
      <c r="R593" t="s">
        <v>4544</v>
      </c>
      <c r="S593" t="s">
        <v>4545</v>
      </c>
    </row>
    <row r="594" spans="1:19" x14ac:dyDescent="0.25">
      <c r="A594" t="s">
        <v>4546</v>
      </c>
      <c r="B594" t="s">
        <v>4547</v>
      </c>
      <c r="C594">
        <v>2016</v>
      </c>
      <c r="F594" t="s">
        <v>1874</v>
      </c>
      <c r="H594">
        <v>113</v>
      </c>
      <c r="I594">
        <v>17</v>
      </c>
      <c r="J594" t="s">
        <v>4548</v>
      </c>
      <c r="K594" t="s">
        <v>4549</v>
      </c>
      <c r="L594" t="s">
        <v>4550</v>
      </c>
      <c r="Q594" t="s">
        <v>4551</v>
      </c>
      <c r="R594" t="s">
        <v>4552</v>
      </c>
      <c r="S594" t="s">
        <v>4553</v>
      </c>
    </row>
    <row r="595" spans="1:19" x14ac:dyDescent="0.25">
      <c r="A595" t="s">
        <v>4554</v>
      </c>
      <c r="B595" t="s">
        <v>4555</v>
      </c>
      <c r="C595">
        <v>2024</v>
      </c>
      <c r="F595" t="s">
        <v>4556</v>
      </c>
      <c r="H595">
        <v>81</v>
      </c>
      <c r="J595" t="s">
        <v>4557</v>
      </c>
      <c r="K595" t="s">
        <v>4558</v>
      </c>
      <c r="L595" t="s">
        <v>4559</v>
      </c>
      <c r="Q595" t="s">
        <v>2193</v>
      </c>
      <c r="R595" t="s">
        <v>4560</v>
      </c>
      <c r="S595" t="s">
        <v>4561</v>
      </c>
    </row>
    <row r="596" spans="1:19" x14ac:dyDescent="0.25">
      <c r="A596" t="s">
        <v>4562</v>
      </c>
      <c r="B596" t="s">
        <v>4563</v>
      </c>
      <c r="C596">
        <v>2021</v>
      </c>
      <c r="F596" t="s">
        <v>678</v>
      </c>
      <c r="H596">
        <v>134</v>
      </c>
      <c r="K596" t="s">
        <v>4564</v>
      </c>
      <c r="L596" t="s">
        <v>4565</v>
      </c>
      <c r="Q596" t="s">
        <v>4566</v>
      </c>
      <c r="R596" t="s">
        <v>4567</v>
      </c>
      <c r="S596" t="s">
        <v>4568</v>
      </c>
    </row>
    <row r="597" spans="1:19" x14ac:dyDescent="0.25">
      <c r="A597" t="s">
        <v>4569</v>
      </c>
      <c r="B597" t="s">
        <v>4570</v>
      </c>
      <c r="C597">
        <v>2022</v>
      </c>
      <c r="F597" t="s">
        <v>1368</v>
      </c>
      <c r="H597">
        <v>36</v>
      </c>
      <c r="I597">
        <v>2</v>
      </c>
      <c r="K597" t="s">
        <v>4571</v>
      </c>
      <c r="L597" t="s">
        <v>4572</v>
      </c>
      <c r="Q597" t="s">
        <v>4573</v>
      </c>
      <c r="R597" t="s">
        <v>4574</v>
      </c>
      <c r="S597" t="s">
        <v>4575</v>
      </c>
    </row>
    <row r="598" spans="1:19" x14ac:dyDescent="0.25">
      <c r="A598" t="s">
        <v>4576</v>
      </c>
      <c r="B598" t="s">
        <v>4577</v>
      </c>
      <c r="C598">
        <v>2023</v>
      </c>
      <c r="F598" t="s">
        <v>4578</v>
      </c>
      <c r="H598">
        <v>32</v>
      </c>
      <c r="I598">
        <v>7</v>
      </c>
      <c r="J598" t="s">
        <v>4579</v>
      </c>
      <c r="K598" t="s">
        <v>4580</v>
      </c>
      <c r="L598" t="s">
        <v>4581</v>
      </c>
      <c r="Q598" t="s">
        <v>3521</v>
      </c>
      <c r="R598" t="s">
        <v>4582</v>
      </c>
      <c r="S598" t="s">
        <v>4583</v>
      </c>
    </row>
    <row r="599" spans="1:19" x14ac:dyDescent="0.25">
      <c r="A599" t="s">
        <v>4584</v>
      </c>
      <c r="B599" t="s">
        <v>4585</v>
      </c>
      <c r="C599">
        <v>2015</v>
      </c>
      <c r="F599" t="s">
        <v>4586</v>
      </c>
      <c r="H599">
        <v>61</v>
      </c>
      <c r="I599">
        <v>2</v>
      </c>
      <c r="J599" t="s">
        <v>4587</v>
      </c>
      <c r="K599" t="s">
        <v>4588</v>
      </c>
      <c r="L599" t="s">
        <v>4589</v>
      </c>
      <c r="Q599" t="s">
        <v>4590</v>
      </c>
      <c r="R599" t="s">
        <v>4591</v>
      </c>
      <c r="S599" t="s">
        <v>4592</v>
      </c>
    </row>
    <row r="600" spans="1:19" x14ac:dyDescent="0.25">
      <c r="A600" t="s">
        <v>4593</v>
      </c>
      <c r="B600" t="s">
        <v>4594</v>
      </c>
      <c r="C600">
        <v>2012</v>
      </c>
      <c r="F600" t="s">
        <v>4595</v>
      </c>
      <c r="H600">
        <v>104</v>
      </c>
      <c r="J600" s="2">
        <v>44562</v>
      </c>
      <c r="K600" t="s">
        <v>4596</v>
      </c>
      <c r="L600" t="s">
        <v>4597</v>
      </c>
      <c r="Q600" t="s">
        <v>4598</v>
      </c>
      <c r="R600" t="s">
        <v>4599</v>
      </c>
      <c r="S600" t="s">
        <v>4600</v>
      </c>
    </row>
    <row r="601" spans="1:19" x14ac:dyDescent="0.25">
      <c r="A601" t="s">
        <v>4601</v>
      </c>
      <c r="B601" t="s">
        <v>4602</v>
      </c>
      <c r="C601">
        <v>2024</v>
      </c>
      <c r="F601" t="s">
        <v>4603</v>
      </c>
      <c r="H601">
        <v>98</v>
      </c>
      <c r="I601">
        <v>6</v>
      </c>
      <c r="J601" t="s">
        <v>4604</v>
      </c>
      <c r="K601" t="s">
        <v>4605</v>
      </c>
      <c r="L601" t="s">
        <v>4606</v>
      </c>
      <c r="Q601" t="s">
        <v>3454</v>
      </c>
      <c r="R601" t="s">
        <v>4607</v>
      </c>
      <c r="S601" t="s">
        <v>4608</v>
      </c>
    </row>
    <row r="602" spans="1:19" x14ac:dyDescent="0.25">
      <c r="A602" t="s">
        <v>4609</v>
      </c>
      <c r="B602" t="s">
        <v>4610</v>
      </c>
      <c r="C602">
        <v>2019</v>
      </c>
      <c r="F602" t="s">
        <v>223</v>
      </c>
      <c r="H602">
        <v>63</v>
      </c>
      <c r="I602">
        <v>2</v>
      </c>
      <c r="J602" t="s">
        <v>4611</v>
      </c>
      <c r="K602" t="s">
        <v>4612</v>
      </c>
      <c r="L602" t="s">
        <v>4613</v>
      </c>
      <c r="Q602" t="s">
        <v>4614</v>
      </c>
      <c r="R602" t="s">
        <v>4615</v>
      </c>
      <c r="S602" t="s">
        <v>4616</v>
      </c>
    </row>
    <row r="603" spans="1:19" x14ac:dyDescent="0.25">
      <c r="A603" t="s">
        <v>4617</v>
      </c>
      <c r="B603" t="s">
        <v>4618</v>
      </c>
      <c r="C603">
        <v>2002</v>
      </c>
      <c r="F603" t="s">
        <v>4619</v>
      </c>
      <c r="H603">
        <v>4</v>
      </c>
      <c r="I603">
        <v>1</v>
      </c>
      <c r="J603" t="s">
        <v>4620</v>
      </c>
      <c r="K603" t="s">
        <v>4621</v>
      </c>
      <c r="L603" t="s">
        <v>4622</v>
      </c>
      <c r="Q603" t="s">
        <v>4623</v>
      </c>
      <c r="S603" t="s">
        <v>4624</v>
      </c>
    </row>
    <row r="604" spans="1:19" x14ac:dyDescent="0.25">
      <c r="A604" t="s">
        <v>4625</v>
      </c>
      <c r="B604" t="s">
        <v>4626</v>
      </c>
      <c r="C604">
        <v>2005</v>
      </c>
      <c r="F604" t="s">
        <v>4627</v>
      </c>
      <c r="H604">
        <v>33</v>
      </c>
      <c r="I604">
        <v>4</v>
      </c>
      <c r="J604" t="s">
        <v>4628</v>
      </c>
      <c r="K604" t="s">
        <v>4629</v>
      </c>
      <c r="L604" t="s">
        <v>4630</v>
      </c>
      <c r="Q604" t="s">
        <v>4631</v>
      </c>
      <c r="R604" t="s">
        <v>4632</v>
      </c>
      <c r="S604" t="s">
        <v>4633</v>
      </c>
    </row>
    <row r="605" spans="1:19" x14ac:dyDescent="0.25">
      <c r="A605" t="s">
        <v>4634</v>
      </c>
      <c r="B605" t="s">
        <v>4635</v>
      </c>
      <c r="C605">
        <v>2024</v>
      </c>
      <c r="F605" t="s">
        <v>315</v>
      </c>
      <c r="H605">
        <v>155</v>
      </c>
      <c r="K605" t="s">
        <v>4636</v>
      </c>
      <c r="L605" t="s">
        <v>4637</v>
      </c>
      <c r="Q605" t="s">
        <v>1387</v>
      </c>
      <c r="R605" t="s">
        <v>4638</v>
      </c>
      <c r="S605" t="s">
        <v>4639</v>
      </c>
    </row>
    <row r="606" spans="1:19" x14ac:dyDescent="0.25">
      <c r="A606" t="s">
        <v>4640</v>
      </c>
      <c r="B606" t="s">
        <v>4641</v>
      </c>
      <c r="C606">
        <v>2015</v>
      </c>
      <c r="F606" t="s">
        <v>3373</v>
      </c>
      <c r="H606">
        <v>4</v>
      </c>
      <c r="I606">
        <v>1</v>
      </c>
      <c r="K606" t="s">
        <v>4642</v>
      </c>
      <c r="L606" t="s">
        <v>4643</v>
      </c>
      <c r="Q606" t="s">
        <v>4644</v>
      </c>
      <c r="R606" t="s">
        <v>4645</v>
      </c>
      <c r="S606" t="s">
        <v>4646</v>
      </c>
    </row>
    <row r="607" spans="1:19" x14ac:dyDescent="0.25">
      <c r="A607" t="s">
        <v>4647</v>
      </c>
      <c r="B607" t="s">
        <v>4648</v>
      </c>
      <c r="C607">
        <v>2012</v>
      </c>
      <c r="F607" t="s">
        <v>4649</v>
      </c>
      <c r="H607">
        <v>102</v>
      </c>
      <c r="I607">
        <v>6</v>
      </c>
      <c r="J607" t="s">
        <v>4650</v>
      </c>
      <c r="K607" t="s">
        <v>4651</v>
      </c>
      <c r="L607" t="s">
        <v>4652</v>
      </c>
      <c r="Q607" t="s">
        <v>4653</v>
      </c>
      <c r="R607" t="s">
        <v>4654</v>
      </c>
      <c r="S607" t="s">
        <v>4655</v>
      </c>
    </row>
    <row r="608" spans="1:19" x14ac:dyDescent="0.25">
      <c r="A608" t="s">
        <v>4656</v>
      </c>
      <c r="B608" t="s">
        <v>4657</v>
      </c>
      <c r="C608">
        <v>2008</v>
      </c>
      <c r="F608" t="s">
        <v>576</v>
      </c>
      <c r="H608">
        <v>45</v>
      </c>
      <c r="I608">
        <v>5</v>
      </c>
      <c r="J608" t="s">
        <v>4658</v>
      </c>
      <c r="K608" t="s">
        <v>4659</v>
      </c>
      <c r="L608" t="s">
        <v>4660</v>
      </c>
      <c r="Q608" t="s">
        <v>4661</v>
      </c>
      <c r="R608" t="s">
        <v>4662</v>
      </c>
      <c r="S608" t="s">
        <v>4663</v>
      </c>
    </row>
    <row r="609" spans="1:19" x14ac:dyDescent="0.25">
      <c r="A609" t="s">
        <v>4664</v>
      </c>
      <c r="B609" t="s">
        <v>4665</v>
      </c>
      <c r="C609">
        <v>1998</v>
      </c>
      <c r="F609" t="s">
        <v>4666</v>
      </c>
      <c r="H609">
        <v>5</v>
      </c>
      <c r="I609">
        <v>4</v>
      </c>
      <c r="J609" t="s">
        <v>4667</v>
      </c>
      <c r="K609" t="s">
        <v>4668</v>
      </c>
      <c r="L609" t="s">
        <v>4669</v>
      </c>
      <c r="Q609" t="s">
        <v>4670</v>
      </c>
      <c r="R609" t="s">
        <v>4671</v>
      </c>
    </row>
    <row r="610" spans="1:19" x14ac:dyDescent="0.25">
      <c r="A610" t="s">
        <v>4672</v>
      </c>
      <c r="B610" t="s">
        <v>4673</v>
      </c>
      <c r="C610">
        <v>2014</v>
      </c>
      <c r="F610" t="s">
        <v>4674</v>
      </c>
      <c r="J610" t="s">
        <v>4675</v>
      </c>
      <c r="K610" t="s">
        <v>4676</v>
      </c>
      <c r="L610" t="s">
        <v>4677</v>
      </c>
      <c r="Q610" t="s">
        <v>4678</v>
      </c>
      <c r="S610" t="s">
        <v>4679</v>
      </c>
    </row>
    <row r="611" spans="1:19" x14ac:dyDescent="0.25">
      <c r="A611" t="s">
        <v>4680</v>
      </c>
      <c r="B611" t="s">
        <v>4681</v>
      </c>
      <c r="C611">
        <v>2017</v>
      </c>
      <c r="F611" t="s">
        <v>2006</v>
      </c>
      <c r="H611">
        <v>12</v>
      </c>
      <c r="I611">
        <v>1</v>
      </c>
      <c r="K611" t="s">
        <v>4682</v>
      </c>
      <c r="L611" t="s">
        <v>4683</v>
      </c>
      <c r="Q611" t="s">
        <v>4684</v>
      </c>
      <c r="R611" t="s">
        <v>4685</v>
      </c>
      <c r="S611" t="s">
        <v>4686</v>
      </c>
    </row>
    <row r="612" spans="1:19" x14ac:dyDescent="0.25">
      <c r="A612" t="s">
        <v>4687</v>
      </c>
      <c r="B612" t="s">
        <v>4688</v>
      </c>
      <c r="C612">
        <v>2023</v>
      </c>
      <c r="F612" t="s">
        <v>4689</v>
      </c>
      <c r="H612">
        <v>15</v>
      </c>
      <c r="I612">
        <v>5</v>
      </c>
      <c r="K612" t="s">
        <v>4690</v>
      </c>
      <c r="L612" t="s">
        <v>4691</v>
      </c>
      <c r="Q612" t="s">
        <v>4692</v>
      </c>
      <c r="R612" t="s">
        <v>4693</v>
      </c>
      <c r="S612" t="s">
        <v>4694</v>
      </c>
    </row>
    <row r="613" spans="1:19" x14ac:dyDescent="0.25">
      <c r="A613" t="s">
        <v>4695</v>
      </c>
      <c r="B613" t="s">
        <v>4696</v>
      </c>
      <c r="C613">
        <v>2016</v>
      </c>
      <c r="F613" t="s">
        <v>4697</v>
      </c>
      <c r="J613" t="s">
        <v>4698</v>
      </c>
      <c r="K613" t="s">
        <v>4699</v>
      </c>
      <c r="L613" t="s">
        <v>4700</v>
      </c>
      <c r="Q613" t="s">
        <v>3297</v>
      </c>
    </row>
    <row r="614" spans="1:19" x14ac:dyDescent="0.25">
      <c r="A614" t="s">
        <v>4701</v>
      </c>
      <c r="B614" t="s">
        <v>4702</v>
      </c>
      <c r="C614">
        <v>2017</v>
      </c>
      <c r="F614" t="s">
        <v>4703</v>
      </c>
      <c r="H614">
        <v>27</v>
      </c>
      <c r="J614" t="s">
        <v>4704</v>
      </c>
      <c r="K614" t="s">
        <v>4705</v>
      </c>
      <c r="L614" t="s">
        <v>4706</v>
      </c>
      <c r="Q614" t="s">
        <v>4707</v>
      </c>
      <c r="R614" t="s">
        <v>4708</v>
      </c>
      <c r="S614" t="s">
        <v>4709</v>
      </c>
    </row>
    <row r="615" spans="1:19" x14ac:dyDescent="0.25">
      <c r="A615" t="s">
        <v>4710</v>
      </c>
      <c r="B615" t="s">
        <v>4711</v>
      </c>
      <c r="C615">
        <v>2023</v>
      </c>
      <c r="F615" t="s">
        <v>2128</v>
      </c>
      <c r="H615">
        <v>81</v>
      </c>
      <c r="K615" t="s">
        <v>4712</v>
      </c>
      <c r="L615" t="s">
        <v>4713</v>
      </c>
      <c r="Q615" t="s">
        <v>1846</v>
      </c>
      <c r="R615" t="s">
        <v>4714</v>
      </c>
      <c r="S615" t="s">
        <v>4715</v>
      </c>
    </row>
    <row r="616" spans="1:19" x14ac:dyDescent="0.25">
      <c r="A616" t="s">
        <v>4716</v>
      </c>
      <c r="B616" t="s">
        <v>4717</v>
      </c>
      <c r="C616">
        <v>2006</v>
      </c>
      <c r="F616" t="s">
        <v>4718</v>
      </c>
      <c r="J616" t="s">
        <v>4719</v>
      </c>
      <c r="K616" t="s">
        <v>4720</v>
      </c>
      <c r="L616" t="s">
        <v>4721</v>
      </c>
      <c r="Q616" t="s">
        <v>1486</v>
      </c>
    </row>
    <row r="617" spans="1:19" x14ac:dyDescent="0.25">
      <c r="A617" t="s">
        <v>4722</v>
      </c>
      <c r="B617" t="s">
        <v>4723</v>
      </c>
      <c r="C617">
        <v>2024</v>
      </c>
      <c r="F617" t="s">
        <v>4724</v>
      </c>
      <c r="H617">
        <v>25</v>
      </c>
      <c r="I617">
        <v>2</v>
      </c>
      <c r="J617" t="s">
        <v>4725</v>
      </c>
      <c r="K617" t="s">
        <v>4726</v>
      </c>
      <c r="L617" t="s">
        <v>4727</v>
      </c>
      <c r="Q617" t="s">
        <v>4728</v>
      </c>
      <c r="R617" t="s">
        <v>4729</v>
      </c>
      <c r="S617" t="s">
        <v>4730</v>
      </c>
    </row>
    <row r="618" spans="1:19" x14ac:dyDescent="0.25">
      <c r="A618" t="s">
        <v>4731</v>
      </c>
      <c r="B618" t="s">
        <v>4732</v>
      </c>
      <c r="C618">
        <v>2023</v>
      </c>
      <c r="F618" t="s">
        <v>4733</v>
      </c>
      <c r="J618" t="s">
        <v>4734</v>
      </c>
      <c r="K618" t="s">
        <v>4735</v>
      </c>
      <c r="L618" t="s">
        <v>4736</v>
      </c>
      <c r="Q618" t="s">
        <v>4529</v>
      </c>
      <c r="S618" t="s">
        <v>4737</v>
      </c>
    </row>
    <row r="619" spans="1:19" x14ac:dyDescent="0.25">
      <c r="A619" t="s">
        <v>4738</v>
      </c>
      <c r="B619" t="s">
        <v>4739</v>
      </c>
      <c r="C619">
        <v>2008</v>
      </c>
      <c r="F619" t="s">
        <v>4740</v>
      </c>
      <c r="H619">
        <v>31</v>
      </c>
      <c r="I619">
        <v>1</v>
      </c>
      <c r="J619" s="2">
        <v>43891</v>
      </c>
      <c r="K619" t="s">
        <v>4741</v>
      </c>
      <c r="L619" t="s">
        <v>4742</v>
      </c>
      <c r="Q619" t="s">
        <v>4743</v>
      </c>
      <c r="R619" t="s">
        <v>4744</v>
      </c>
      <c r="S619" t="s">
        <v>4745</v>
      </c>
    </row>
    <row r="620" spans="1:19" x14ac:dyDescent="0.25">
      <c r="A620" t="s">
        <v>4746</v>
      </c>
      <c r="B620" t="s">
        <v>4747</v>
      </c>
      <c r="C620">
        <v>2019</v>
      </c>
      <c r="F620" t="s">
        <v>140</v>
      </c>
      <c r="H620">
        <v>24</v>
      </c>
      <c r="I620">
        <v>1</v>
      </c>
      <c r="K620" t="s">
        <v>4748</v>
      </c>
      <c r="L620" t="s">
        <v>4749</v>
      </c>
      <c r="Q620" t="s">
        <v>4750</v>
      </c>
      <c r="R620" t="s">
        <v>4751</v>
      </c>
      <c r="S620" t="s">
        <v>4752</v>
      </c>
    </row>
    <row r="621" spans="1:19" x14ac:dyDescent="0.25">
      <c r="A621" t="s">
        <v>4753</v>
      </c>
      <c r="B621" t="s">
        <v>4754</v>
      </c>
      <c r="C621">
        <v>2015</v>
      </c>
      <c r="F621" t="s">
        <v>140</v>
      </c>
      <c r="H621">
        <v>20</v>
      </c>
      <c r="I621">
        <v>4</v>
      </c>
      <c r="K621" t="s">
        <v>4755</v>
      </c>
      <c r="L621" t="s">
        <v>4756</v>
      </c>
      <c r="Q621" t="s">
        <v>4757</v>
      </c>
      <c r="R621" t="s">
        <v>4758</v>
      </c>
      <c r="S621" t="s">
        <v>4759</v>
      </c>
    </row>
    <row r="622" spans="1:19" x14ac:dyDescent="0.25">
      <c r="A622" t="s">
        <v>4760</v>
      </c>
      <c r="B622" t="s">
        <v>4761</v>
      </c>
      <c r="C622">
        <v>2012</v>
      </c>
      <c r="F622" t="s">
        <v>4762</v>
      </c>
      <c r="J622" t="s">
        <v>4763</v>
      </c>
      <c r="K622" t="s">
        <v>4764</v>
      </c>
      <c r="L622" t="s">
        <v>4765</v>
      </c>
      <c r="Q622" t="s">
        <v>3587</v>
      </c>
    </row>
    <row r="623" spans="1:19" x14ac:dyDescent="0.25">
      <c r="A623" t="s">
        <v>4766</v>
      </c>
      <c r="B623" t="s">
        <v>4767</v>
      </c>
      <c r="C623">
        <v>2002</v>
      </c>
      <c r="F623" t="s">
        <v>576</v>
      </c>
      <c r="H623">
        <v>39</v>
      </c>
      <c r="I623">
        <v>1</v>
      </c>
      <c r="J623" s="1">
        <v>46204</v>
      </c>
      <c r="K623" t="s">
        <v>4768</v>
      </c>
      <c r="L623" t="s">
        <v>4769</v>
      </c>
      <c r="Q623" t="s">
        <v>4770</v>
      </c>
      <c r="R623" t="s">
        <v>4771</v>
      </c>
      <c r="S623" t="s">
        <v>4772</v>
      </c>
    </row>
    <row r="624" spans="1:19" x14ac:dyDescent="0.25">
      <c r="A624" t="s">
        <v>4773</v>
      </c>
      <c r="B624" t="s">
        <v>4774</v>
      </c>
      <c r="C624">
        <v>2013</v>
      </c>
      <c r="F624" t="s">
        <v>307</v>
      </c>
      <c r="H624">
        <v>7</v>
      </c>
      <c r="I624">
        <v>2</v>
      </c>
      <c r="J624" t="s">
        <v>4775</v>
      </c>
      <c r="K624" t="s">
        <v>4776</v>
      </c>
      <c r="L624" t="s">
        <v>4777</v>
      </c>
      <c r="Q624" t="s">
        <v>4778</v>
      </c>
      <c r="S624" t="s">
        <v>4779</v>
      </c>
    </row>
    <row r="625" spans="1:19" x14ac:dyDescent="0.25">
      <c r="A625" t="s">
        <v>4780</v>
      </c>
      <c r="B625" t="s">
        <v>4781</v>
      </c>
      <c r="C625">
        <v>2010</v>
      </c>
      <c r="D625">
        <v>3</v>
      </c>
      <c r="F625" t="s">
        <v>4782</v>
      </c>
      <c r="G625" t="s">
        <v>4783</v>
      </c>
      <c r="H625">
        <v>53</v>
      </c>
      <c r="I625">
        <v>3</v>
      </c>
      <c r="J625" t="s">
        <v>4784</v>
      </c>
      <c r="K625" t="s">
        <v>4785</v>
      </c>
      <c r="M625" t="s">
        <v>4786</v>
      </c>
      <c r="O625" t="s">
        <v>4787</v>
      </c>
      <c r="Q625" t="s">
        <v>4788</v>
      </c>
      <c r="R625" t="s">
        <v>4789</v>
      </c>
      <c r="S625" t="s">
        <v>4790</v>
      </c>
    </row>
    <row r="626" spans="1:19" x14ac:dyDescent="0.25">
      <c r="A626" t="s">
        <v>4791</v>
      </c>
      <c r="B626" t="s">
        <v>4792</v>
      </c>
      <c r="C626">
        <v>2024</v>
      </c>
      <c r="D626">
        <v>4</v>
      </c>
      <c r="F626" t="s">
        <v>4793</v>
      </c>
      <c r="G626" t="s">
        <v>4794</v>
      </c>
      <c r="H626">
        <v>272</v>
      </c>
      <c r="K626" t="s">
        <v>4795</v>
      </c>
      <c r="M626" t="s">
        <v>4786</v>
      </c>
      <c r="O626" t="s">
        <v>4796</v>
      </c>
      <c r="Q626" t="s">
        <v>4797</v>
      </c>
      <c r="R626" t="s">
        <v>4798</v>
      </c>
      <c r="S626" t="s">
        <v>4799</v>
      </c>
    </row>
    <row r="627" spans="1:19" x14ac:dyDescent="0.25">
      <c r="A627" t="s">
        <v>4800</v>
      </c>
      <c r="B627" t="s">
        <v>4801</v>
      </c>
      <c r="C627">
        <v>2023</v>
      </c>
      <c r="D627">
        <v>5</v>
      </c>
      <c r="E627">
        <v>18</v>
      </c>
      <c r="F627" t="s">
        <v>4802</v>
      </c>
      <c r="G627" t="s">
        <v>4803</v>
      </c>
      <c r="H627">
        <v>12</v>
      </c>
      <c r="I627">
        <v>1</v>
      </c>
      <c r="K627" t="s">
        <v>4804</v>
      </c>
      <c r="M627" t="s">
        <v>4786</v>
      </c>
      <c r="O627" t="s">
        <v>4805</v>
      </c>
      <c r="Q627" t="s">
        <v>4806</v>
      </c>
      <c r="R627" t="s">
        <v>4807</v>
      </c>
      <c r="S627" t="s">
        <v>4808</v>
      </c>
    </row>
    <row r="628" spans="1:19" x14ac:dyDescent="0.25">
      <c r="A628" t="s">
        <v>4809</v>
      </c>
      <c r="B628" t="s">
        <v>4810</v>
      </c>
      <c r="C628">
        <v>2010</v>
      </c>
      <c r="F628" t="s">
        <v>4811</v>
      </c>
      <c r="G628" t="s">
        <v>4812</v>
      </c>
      <c r="H628">
        <v>41</v>
      </c>
      <c r="I628">
        <v>3</v>
      </c>
      <c r="J628" t="s">
        <v>4813</v>
      </c>
      <c r="K628" t="s">
        <v>4814</v>
      </c>
      <c r="M628" t="s">
        <v>4786</v>
      </c>
      <c r="O628" t="s">
        <v>4815</v>
      </c>
      <c r="Q628" t="s">
        <v>4816</v>
      </c>
      <c r="R628" t="s">
        <v>4817</v>
      </c>
      <c r="S628" t="s">
        <v>4818</v>
      </c>
    </row>
    <row r="629" spans="1:19" x14ac:dyDescent="0.25">
      <c r="A629" t="s">
        <v>4819</v>
      </c>
      <c r="B629" t="s">
        <v>4820</v>
      </c>
      <c r="C629">
        <v>2017</v>
      </c>
      <c r="F629" t="s">
        <v>4821</v>
      </c>
      <c r="G629" t="s">
        <v>4822</v>
      </c>
      <c r="H629">
        <v>4</v>
      </c>
      <c r="K629" t="s">
        <v>4823</v>
      </c>
      <c r="M629" t="s">
        <v>4786</v>
      </c>
      <c r="O629" t="s">
        <v>4824</v>
      </c>
      <c r="Q629" t="s">
        <v>4825</v>
      </c>
      <c r="R629" t="s">
        <v>4826</v>
      </c>
      <c r="S629" t="s">
        <v>4827</v>
      </c>
    </row>
    <row r="630" spans="1:19" x14ac:dyDescent="0.25">
      <c r="A630" t="s">
        <v>4828</v>
      </c>
      <c r="B630" t="s">
        <v>4829</v>
      </c>
      <c r="C630">
        <v>2024</v>
      </c>
      <c r="D630">
        <v>9</v>
      </c>
      <c r="F630" t="s">
        <v>4830</v>
      </c>
      <c r="G630" t="s">
        <v>4831</v>
      </c>
      <c r="H630">
        <v>32</v>
      </c>
      <c r="I630">
        <v>3</v>
      </c>
      <c r="J630" t="s">
        <v>4832</v>
      </c>
      <c r="K630" t="s">
        <v>4833</v>
      </c>
      <c r="M630" t="s">
        <v>4786</v>
      </c>
      <c r="O630" t="s">
        <v>4834</v>
      </c>
      <c r="Q630" t="s">
        <v>4835</v>
      </c>
      <c r="R630" t="s">
        <v>4836</v>
      </c>
      <c r="S630" t="s">
        <v>4837</v>
      </c>
    </row>
    <row r="631" spans="1:19" x14ac:dyDescent="0.25">
      <c r="A631" t="s">
        <v>4838</v>
      </c>
      <c r="B631" t="s">
        <v>4839</v>
      </c>
      <c r="C631">
        <v>2021</v>
      </c>
      <c r="D631">
        <v>12</v>
      </c>
      <c r="F631" t="s">
        <v>4840</v>
      </c>
      <c r="G631" t="s">
        <v>4841</v>
      </c>
      <c r="H631">
        <v>31</v>
      </c>
      <c r="I631">
        <v>8</v>
      </c>
      <c r="K631" t="s">
        <v>4842</v>
      </c>
      <c r="M631" t="s">
        <v>4786</v>
      </c>
      <c r="O631" t="s">
        <v>4843</v>
      </c>
      <c r="Q631" t="s">
        <v>4844</v>
      </c>
      <c r="R631" t="s">
        <v>4845</v>
      </c>
      <c r="S631" t="s">
        <v>4846</v>
      </c>
    </row>
    <row r="632" spans="1:19" x14ac:dyDescent="0.25">
      <c r="A632" t="s">
        <v>4847</v>
      </c>
      <c r="B632" t="s">
        <v>4848</v>
      </c>
      <c r="C632">
        <v>2023</v>
      </c>
      <c r="D632">
        <v>7</v>
      </c>
      <c r="E632">
        <v>17</v>
      </c>
      <c r="F632" t="s">
        <v>4849</v>
      </c>
      <c r="G632" t="s">
        <v>4850</v>
      </c>
      <c r="H632">
        <v>378</v>
      </c>
      <c r="I632">
        <v>1881</v>
      </c>
      <c r="K632" t="s">
        <v>4851</v>
      </c>
      <c r="M632" t="s">
        <v>4786</v>
      </c>
      <c r="O632" t="s">
        <v>4852</v>
      </c>
      <c r="Q632" t="s">
        <v>4853</v>
      </c>
      <c r="R632" t="s">
        <v>4854</v>
      </c>
      <c r="S632" t="s">
        <v>4855</v>
      </c>
    </row>
    <row r="633" spans="1:19" x14ac:dyDescent="0.25">
      <c r="A633" t="s">
        <v>4856</v>
      </c>
      <c r="B633" t="s">
        <v>4857</v>
      </c>
      <c r="C633">
        <v>2020</v>
      </c>
      <c r="D633">
        <v>6</v>
      </c>
      <c r="E633">
        <v>1</v>
      </c>
      <c r="F633" t="s">
        <v>4782</v>
      </c>
      <c r="G633" t="s">
        <v>4858</v>
      </c>
      <c r="H633">
        <v>190</v>
      </c>
      <c r="K633" t="s">
        <v>4859</v>
      </c>
      <c r="M633" t="s">
        <v>4786</v>
      </c>
      <c r="O633" t="s">
        <v>4860</v>
      </c>
      <c r="Q633" t="s">
        <v>4861</v>
      </c>
      <c r="R633" t="s">
        <v>4862</v>
      </c>
      <c r="S633" t="s">
        <v>4863</v>
      </c>
    </row>
    <row r="634" spans="1:19" x14ac:dyDescent="0.25">
      <c r="A634" t="s">
        <v>4864</v>
      </c>
      <c r="B634" t="s">
        <v>4865</v>
      </c>
      <c r="C634">
        <v>2010</v>
      </c>
      <c r="D634">
        <v>11</v>
      </c>
      <c r="F634" t="s">
        <v>4866</v>
      </c>
      <c r="G634" t="s">
        <v>4867</v>
      </c>
      <c r="H634">
        <v>60</v>
      </c>
      <c r="I634">
        <v>10</v>
      </c>
      <c r="J634" t="s">
        <v>4868</v>
      </c>
      <c r="K634" t="s">
        <v>4869</v>
      </c>
      <c r="M634" t="s">
        <v>4786</v>
      </c>
      <c r="O634" t="s">
        <v>4870</v>
      </c>
      <c r="Q634" t="s">
        <v>4871</v>
      </c>
      <c r="R634" t="s">
        <v>4872</v>
      </c>
      <c r="S634" t="s">
        <v>4873</v>
      </c>
    </row>
    <row r="635" spans="1:19" x14ac:dyDescent="0.25">
      <c r="A635" t="s">
        <v>4874</v>
      </c>
      <c r="B635" t="s">
        <v>4875</v>
      </c>
      <c r="C635">
        <v>2020</v>
      </c>
      <c r="D635">
        <v>3</v>
      </c>
      <c r="E635">
        <v>10</v>
      </c>
      <c r="F635" t="s">
        <v>4876</v>
      </c>
      <c r="G635" t="s">
        <v>4877</v>
      </c>
      <c r="H635">
        <v>4</v>
      </c>
      <c r="K635" t="s">
        <v>4878</v>
      </c>
      <c r="M635" t="s">
        <v>4786</v>
      </c>
      <c r="O635" t="s">
        <v>4879</v>
      </c>
      <c r="Q635" t="s">
        <v>4880</v>
      </c>
      <c r="R635" t="s">
        <v>4881</v>
      </c>
      <c r="S635" t="s">
        <v>4882</v>
      </c>
    </row>
    <row r="636" spans="1:19" x14ac:dyDescent="0.25">
      <c r="A636" t="s">
        <v>4883</v>
      </c>
      <c r="B636" t="s">
        <v>4884</v>
      </c>
      <c r="C636">
        <v>2009</v>
      </c>
      <c r="D636">
        <v>8</v>
      </c>
      <c r="F636" t="s">
        <v>4885</v>
      </c>
      <c r="G636" t="s">
        <v>4886</v>
      </c>
      <c r="H636">
        <v>23</v>
      </c>
      <c r="I636">
        <v>4</v>
      </c>
      <c r="J636" t="s">
        <v>4887</v>
      </c>
      <c r="K636" t="s">
        <v>4888</v>
      </c>
      <c r="M636" t="s">
        <v>4786</v>
      </c>
      <c r="O636" t="s">
        <v>4889</v>
      </c>
      <c r="Q636" t="s">
        <v>4890</v>
      </c>
      <c r="R636" t="s">
        <v>4891</v>
      </c>
      <c r="S636" t="s">
        <v>4892</v>
      </c>
    </row>
    <row r="637" spans="1:19" x14ac:dyDescent="0.25">
      <c r="A637" t="s">
        <v>4893</v>
      </c>
      <c r="B637" t="s">
        <v>4894</v>
      </c>
      <c r="C637">
        <v>2019</v>
      </c>
      <c r="D637">
        <v>5</v>
      </c>
      <c r="F637" t="s">
        <v>4895</v>
      </c>
      <c r="G637" t="s">
        <v>4896</v>
      </c>
      <c r="H637">
        <v>20</v>
      </c>
      <c r="I637">
        <v>2</v>
      </c>
      <c r="J637" t="s">
        <v>4897</v>
      </c>
      <c r="K637" t="s">
        <v>4898</v>
      </c>
      <c r="M637" t="s">
        <v>4786</v>
      </c>
      <c r="O637" t="s">
        <v>4899</v>
      </c>
      <c r="Q637" t="s">
        <v>4900</v>
      </c>
      <c r="R637" t="s">
        <v>4901</v>
      </c>
      <c r="S637" t="s">
        <v>4902</v>
      </c>
    </row>
    <row r="638" spans="1:19" x14ac:dyDescent="0.25">
      <c r="A638" t="s">
        <v>4903</v>
      </c>
      <c r="B638" t="s">
        <v>4904</v>
      </c>
      <c r="C638">
        <v>2020</v>
      </c>
      <c r="D638">
        <v>10</v>
      </c>
      <c r="F638" t="s">
        <v>4905</v>
      </c>
      <c r="G638" t="s">
        <v>4906</v>
      </c>
      <c r="H638">
        <v>9</v>
      </c>
      <c r="I638">
        <v>10</v>
      </c>
      <c r="K638" t="s">
        <v>4907</v>
      </c>
      <c r="M638" t="s">
        <v>4786</v>
      </c>
      <c r="O638" t="s">
        <v>4908</v>
      </c>
      <c r="Q638" t="s">
        <v>4909</v>
      </c>
      <c r="R638" t="s">
        <v>4910</v>
      </c>
      <c r="S638" t="s">
        <v>4911</v>
      </c>
    </row>
    <row r="639" spans="1:19" x14ac:dyDescent="0.25">
      <c r="A639" t="s">
        <v>4912</v>
      </c>
      <c r="B639" t="s">
        <v>4913</v>
      </c>
      <c r="C639">
        <v>2018</v>
      </c>
      <c r="D639">
        <v>9</v>
      </c>
      <c r="F639" t="s">
        <v>4914</v>
      </c>
      <c r="G639" t="s">
        <v>4915</v>
      </c>
      <c r="H639">
        <v>116</v>
      </c>
      <c r="I639">
        <v>5</v>
      </c>
      <c r="J639" t="s">
        <v>4916</v>
      </c>
      <c r="K639" t="s">
        <v>4917</v>
      </c>
      <c r="M639" t="s">
        <v>4786</v>
      </c>
      <c r="O639" t="s">
        <v>4918</v>
      </c>
      <c r="Q639" t="s">
        <v>4919</v>
      </c>
      <c r="R639" t="s">
        <v>4920</v>
      </c>
      <c r="S639" t="s">
        <v>4921</v>
      </c>
    </row>
    <row r="640" spans="1:19" x14ac:dyDescent="0.25">
      <c r="A640" t="s">
        <v>4922</v>
      </c>
      <c r="B640" t="s">
        <v>4923</v>
      </c>
      <c r="C640">
        <v>2020</v>
      </c>
      <c r="D640">
        <v>9</v>
      </c>
      <c r="F640" t="s">
        <v>4924</v>
      </c>
      <c r="G640" t="s">
        <v>4925</v>
      </c>
      <c r="H640">
        <v>30</v>
      </c>
      <c r="I640">
        <v>9</v>
      </c>
      <c r="J640" t="s">
        <v>4926</v>
      </c>
      <c r="K640" t="s">
        <v>4927</v>
      </c>
      <c r="M640" t="s">
        <v>4786</v>
      </c>
      <c r="O640" t="s">
        <v>4928</v>
      </c>
      <c r="Q640" t="s">
        <v>4929</v>
      </c>
      <c r="R640" t="s">
        <v>4930</v>
      </c>
      <c r="S640" t="s">
        <v>4931</v>
      </c>
    </row>
    <row r="641" spans="1:19" x14ac:dyDescent="0.25">
      <c r="A641" t="s">
        <v>4932</v>
      </c>
      <c r="B641" t="s">
        <v>4933</v>
      </c>
      <c r="C641">
        <v>2020</v>
      </c>
      <c r="D641">
        <v>7</v>
      </c>
      <c r="F641" t="s">
        <v>4934</v>
      </c>
      <c r="G641" t="s">
        <v>4935</v>
      </c>
      <c r="H641">
        <v>2</v>
      </c>
      <c r="I641">
        <v>7</v>
      </c>
      <c r="K641" t="s">
        <v>4936</v>
      </c>
      <c r="M641" t="s">
        <v>4786</v>
      </c>
      <c r="O641" t="s">
        <v>4937</v>
      </c>
      <c r="Q641" t="s">
        <v>4938</v>
      </c>
      <c r="R641" t="s">
        <v>4939</v>
      </c>
      <c r="S641" t="s">
        <v>4940</v>
      </c>
    </row>
    <row r="642" spans="1:19" x14ac:dyDescent="0.25">
      <c r="A642" t="s">
        <v>4941</v>
      </c>
      <c r="B642" t="s">
        <v>4942</v>
      </c>
      <c r="C642">
        <v>2015</v>
      </c>
      <c r="D642">
        <v>3</v>
      </c>
      <c r="F642" t="s">
        <v>4943</v>
      </c>
      <c r="G642" t="s">
        <v>4944</v>
      </c>
      <c r="H642">
        <v>47</v>
      </c>
      <c r="J642" t="s">
        <v>4945</v>
      </c>
      <c r="K642" t="s">
        <v>4946</v>
      </c>
      <c r="M642" t="s">
        <v>4786</v>
      </c>
      <c r="O642" t="s">
        <v>4947</v>
      </c>
      <c r="Q642" t="s">
        <v>4948</v>
      </c>
      <c r="R642" t="s">
        <v>4949</v>
      </c>
      <c r="S642" t="s">
        <v>4950</v>
      </c>
    </row>
    <row r="643" spans="1:19" x14ac:dyDescent="0.25">
      <c r="A643" t="s">
        <v>4951</v>
      </c>
      <c r="B643" t="s">
        <v>4952</v>
      </c>
      <c r="C643">
        <v>2012</v>
      </c>
      <c r="D643">
        <v>1</v>
      </c>
      <c r="F643" t="s">
        <v>4953</v>
      </c>
      <c r="G643" t="s">
        <v>4954</v>
      </c>
      <c r="H643">
        <v>8</v>
      </c>
      <c r="I643">
        <v>1</v>
      </c>
      <c r="J643" t="s">
        <v>4955</v>
      </c>
      <c r="K643" t="s">
        <v>4956</v>
      </c>
      <c r="M643" t="s">
        <v>4786</v>
      </c>
      <c r="O643" t="s">
        <v>4957</v>
      </c>
      <c r="Q643" t="s">
        <v>4958</v>
      </c>
      <c r="R643" t="s">
        <v>4959</v>
      </c>
      <c r="S643" t="s">
        <v>4960</v>
      </c>
    </row>
    <row r="644" spans="1:19" x14ac:dyDescent="0.25">
      <c r="A644" t="s">
        <v>4961</v>
      </c>
      <c r="B644" t="s">
        <v>4962</v>
      </c>
      <c r="C644">
        <v>2021</v>
      </c>
      <c r="D644">
        <v>11</v>
      </c>
      <c r="F644" t="s">
        <v>4924</v>
      </c>
      <c r="G644" t="s">
        <v>4925</v>
      </c>
      <c r="H644">
        <v>31</v>
      </c>
      <c r="I644">
        <v>11</v>
      </c>
      <c r="J644" t="s">
        <v>4963</v>
      </c>
      <c r="K644" t="s">
        <v>4964</v>
      </c>
      <c r="M644" t="s">
        <v>4786</v>
      </c>
      <c r="O644" t="s">
        <v>4965</v>
      </c>
      <c r="Q644" t="s">
        <v>4966</v>
      </c>
      <c r="R644" t="s">
        <v>4967</v>
      </c>
      <c r="S644" t="s">
        <v>4968</v>
      </c>
    </row>
    <row r="645" spans="1:19" x14ac:dyDescent="0.25">
      <c r="A645" t="s">
        <v>4969</v>
      </c>
      <c r="B645" t="s">
        <v>4970</v>
      </c>
      <c r="C645">
        <v>2008</v>
      </c>
      <c r="F645" t="s">
        <v>4782</v>
      </c>
      <c r="G645" t="s">
        <v>4858</v>
      </c>
      <c r="H645">
        <v>51</v>
      </c>
      <c r="I645">
        <v>7</v>
      </c>
      <c r="J645" t="s">
        <v>4971</v>
      </c>
      <c r="K645" t="s">
        <v>4972</v>
      </c>
      <c r="M645" t="s">
        <v>4786</v>
      </c>
      <c r="O645" t="s">
        <v>4973</v>
      </c>
      <c r="Q645" t="s">
        <v>4974</v>
      </c>
      <c r="R645" t="s">
        <v>4975</v>
      </c>
      <c r="S645" t="s">
        <v>4976</v>
      </c>
    </row>
    <row r="646" spans="1:19" x14ac:dyDescent="0.25">
      <c r="A646" t="s">
        <v>4977</v>
      </c>
      <c r="B646" t="s">
        <v>4978</v>
      </c>
      <c r="C646">
        <v>2024</v>
      </c>
      <c r="D646">
        <v>4</v>
      </c>
      <c r="F646" t="s">
        <v>4979</v>
      </c>
      <c r="G646" t="s">
        <v>4980</v>
      </c>
      <c r="H646">
        <v>16</v>
      </c>
      <c r="I646">
        <v>7</v>
      </c>
      <c r="K646" t="s">
        <v>4981</v>
      </c>
      <c r="M646" t="s">
        <v>4786</v>
      </c>
      <c r="O646" t="s">
        <v>4982</v>
      </c>
      <c r="Q646" t="s">
        <v>4983</v>
      </c>
      <c r="R646" t="s">
        <v>4984</v>
      </c>
      <c r="S646" t="s">
        <v>4985</v>
      </c>
    </row>
    <row r="647" spans="1:19" x14ac:dyDescent="0.25">
      <c r="A647" t="s">
        <v>4986</v>
      </c>
      <c r="B647" t="s">
        <v>4987</v>
      </c>
      <c r="C647">
        <v>2022</v>
      </c>
      <c r="D647">
        <v>7</v>
      </c>
      <c r="F647" t="s">
        <v>4988</v>
      </c>
      <c r="G647" t="s">
        <v>4989</v>
      </c>
      <c r="H647">
        <v>95</v>
      </c>
      <c r="K647" t="s">
        <v>4990</v>
      </c>
      <c r="M647" t="s">
        <v>4786</v>
      </c>
      <c r="O647" t="s">
        <v>4991</v>
      </c>
      <c r="Q647" t="s">
        <v>4992</v>
      </c>
      <c r="R647" t="s">
        <v>4993</v>
      </c>
      <c r="S647" t="s">
        <v>4994</v>
      </c>
    </row>
    <row r="648" spans="1:19" x14ac:dyDescent="0.25">
      <c r="A648" t="s">
        <v>4995</v>
      </c>
      <c r="B648" t="s">
        <v>4996</v>
      </c>
      <c r="C648">
        <v>2017</v>
      </c>
      <c r="D648">
        <v>1</v>
      </c>
      <c r="F648" t="s">
        <v>4997</v>
      </c>
      <c r="G648" t="s">
        <v>4998</v>
      </c>
      <c r="H648">
        <v>18</v>
      </c>
      <c r="I648">
        <v>1</v>
      </c>
      <c r="J648" t="s">
        <v>4332</v>
      </c>
      <c r="K648" t="s">
        <v>4999</v>
      </c>
      <c r="M648" t="s">
        <v>4786</v>
      </c>
      <c r="O648" t="s">
        <v>5000</v>
      </c>
      <c r="Q648" t="s">
        <v>5001</v>
      </c>
      <c r="R648" t="s">
        <v>5002</v>
      </c>
      <c r="S648" t="s">
        <v>5003</v>
      </c>
    </row>
    <row r="649" spans="1:19" x14ac:dyDescent="0.25">
      <c r="A649" t="s">
        <v>5004</v>
      </c>
      <c r="B649" t="s">
        <v>5005</v>
      </c>
      <c r="C649">
        <v>2018</v>
      </c>
      <c r="D649">
        <v>1</v>
      </c>
      <c r="E649">
        <v>15</v>
      </c>
      <c r="F649" t="s">
        <v>5006</v>
      </c>
      <c r="G649" t="s">
        <v>5007</v>
      </c>
      <c r="H649">
        <v>206</v>
      </c>
      <c r="J649" t="s">
        <v>5008</v>
      </c>
      <c r="K649" t="s">
        <v>5009</v>
      </c>
      <c r="M649" t="s">
        <v>4786</v>
      </c>
      <c r="O649" t="s">
        <v>5010</v>
      </c>
      <c r="Q649" t="s">
        <v>5011</v>
      </c>
      <c r="R649" t="s">
        <v>5012</v>
      </c>
      <c r="S649" t="s">
        <v>5013</v>
      </c>
    </row>
    <row r="650" spans="1:19" x14ac:dyDescent="0.25">
      <c r="A650" t="s">
        <v>5014</v>
      </c>
      <c r="B650" t="s">
        <v>5015</v>
      </c>
      <c r="C650">
        <v>2016</v>
      </c>
      <c r="D650">
        <v>1</v>
      </c>
      <c r="F650" t="s">
        <v>5016</v>
      </c>
      <c r="G650" t="s">
        <v>5017</v>
      </c>
      <c r="H650">
        <v>63</v>
      </c>
      <c r="J650" t="s">
        <v>5018</v>
      </c>
      <c r="K650" t="s">
        <v>5019</v>
      </c>
      <c r="M650" t="s">
        <v>4786</v>
      </c>
      <c r="O650" t="s">
        <v>5020</v>
      </c>
      <c r="Q650" t="s">
        <v>5021</v>
      </c>
      <c r="R650" t="s">
        <v>5022</v>
      </c>
      <c r="S650" t="s">
        <v>5023</v>
      </c>
    </row>
    <row r="651" spans="1:19" x14ac:dyDescent="0.25">
      <c r="A651" t="s">
        <v>5024</v>
      </c>
      <c r="B651" t="s">
        <v>5025</v>
      </c>
      <c r="C651">
        <v>2023</v>
      </c>
      <c r="D651">
        <v>6</v>
      </c>
      <c r="F651" t="s">
        <v>5026</v>
      </c>
      <c r="G651" t="s">
        <v>5027</v>
      </c>
      <c r="H651">
        <v>129</v>
      </c>
      <c r="K651" t="s">
        <v>5028</v>
      </c>
      <c r="M651" t="s">
        <v>4786</v>
      </c>
      <c r="O651" t="s">
        <v>5029</v>
      </c>
      <c r="Q651" t="s">
        <v>5030</v>
      </c>
      <c r="R651" t="s">
        <v>5031</v>
      </c>
      <c r="S651" t="s">
        <v>5032</v>
      </c>
    </row>
    <row r="652" spans="1:19" x14ac:dyDescent="0.25">
      <c r="A652" t="s">
        <v>5033</v>
      </c>
      <c r="B652" t="s">
        <v>5034</v>
      </c>
      <c r="C652">
        <v>2022</v>
      </c>
      <c r="D652">
        <v>10</v>
      </c>
      <c r="E652">
        <v>20</v>
      </c>
      <c r="F652" t="s">
        <v>5035</v>
      </c>
      <c r="G652" t="s">
        <v>5036</v>
      </c>
      <c r="H652">
        <v>844</v>
      </c>
      <c r="K652" t="s">
        <v>5037</v>
      </c>
      <c r="M652" t="s">
        <v>4786</v>
      </c>
      <c r="O652" t="s">
        <v>5038</v>
      </c>
      <c r="Q652" t="s">
        <v>5039</v>
      </c>
      <c r="R652" t="s">
        <v>5040</v>
      </c>
      <c r="S652" t="s">
        <v>5041</v>
      </c>
    </row>
    <row r="653" spans="1:19" x14ac:dyDescent="0.25">
      <c r="A653" t="s">
        <v>5042</v>
      </c>
      <c r="B653" t="s">
        <v>5043</v>
      </c>
      <c r="C653">
        <v>2020</v>
      </c>
      <c r="D653">
        <v>9</v>
      </c>
      <c r="F653" t="s">
        <v>4924</v>
      </c>
      <c r="G653" t="s">
        <v>4925</v>
      </c>
      <c r="H653">
        <v>30</v>
      </c>
      <c r="I653">
        <v>9</v>
      </c>
      <c r="J653" t="s">
        <v>5044</v>
      </c>
      <c r="K653" t="s">
        <v>5045</v>
      </c>
      <c r="M653" t="s">
        <v>4786</v>
      </c>
      <c r="O653" t="s">
        <v>5046</v>
      </c>
      <c r="Q653" t="s">
        <v>5047</v>
      </c>
      <c r="R653" t="s">
        <v>5048</v>
      </c>
      <c r="S653" t="s">
        <v>5049</v>
      </c>
    </row>
    <row r="654" spans="1:19" x14ac:dyDescent="0.25">
      <c r="A654" t="s">
        <v>5050</v>
      </c>
      <c r="B654" t="s">
        <v>5051</v>
      </c>
      <c r="C654">
        <v>2020</v>
      </c>
      <c r="D654">
        <v>9</v>
      </c>
      <c r="F654" t="s">
        <v>4924</v>
      </c>
      <c r="G654" t="s">
        <v>4925</v>
      </c>
      <c r="H654">
        <v>30</v>
      </c>
      <c r="I654">
        <v>9</v>
      </c>
      <c r="J654" t="s">
        <v>5052</v>
      </c>
      <c r="K654" t="s">
        <v>5053</v>
      </c>
      <c r="M654" t="s">
        <v>4786</v>
      </c>
      <c r="O654" t="s">
        <v>5054</v>
      </c>
      <c r="Q654" t="s">
        <v>5055</v>
      </c>
      <c r="R654" t="s">
        <v>5056</v>
      </c>
      <c r="S654" t="s">
        <v>5057</v>
      </c>
    </row>
    <row r="655" spans="1:19" x14ac:dyDescent="0.25">
      <c r="A655" t="s">
        <v>5058</v>
      </c>
      <c r="B655" t="s">
        <v>5059</v>
      </c>
      <c r="C655">
        <v>2011</v>
      </c>
      <c r="F655" t="s">
        <v>5060</v>
      </c>
      <c r="G655" t="s">
        <v>5061</v>
      </c>
      <c r="H655">
        <v>33</v>
      </c>
      <c r="I655">
        <v>3</v>
      </c>
      <c r="J655" t="s">
        <v>5062</v>
      </c>
      <c r="K655" t="s">
        <v>5063</v>
      </c>
      <c r="M655" t="s">
        <v>4786</v>
      </c>
      <c r="O655" t="s">
        <v>5064</v>
      </c>
      <c r="Q655" t="s">
        <v>5065</v>
      </c>
      <c r="R655" t="s">
        <v>5066</v>
      </c>
      <c r="S655" t="s">
        <v>5067</v>
      </c>
    </row>
    <row r="656" spans="1:19" x14ac:dyDescent="0.25">
      <c r="A656" t="s">
        <v>5068</v>
      </c>
      <c r="B656" t="s">
        <v>5069</v>
      </c>
      <c r="C656">
        <v>2025</v>
      </c>
      <c r="D656">
        <v>1</v>
      </c>
      <c r="E656">
        <v>6</v>
      </c>
      <c r="F656" t="s">
        <v>5070</v>
      </c>
      <c r="G656" t="s">
        <v>5071</v>
      </c>
      <c r="K656" t="s">
        <v>5072</v>
      </c>
      <c r="M656" t="s">
        <v>4786</v>
      </c>
      <c r="O656" t="s">
        <v>5073</v>
      </c>
      <c r="Q656" t="s">
        <v>5074</v>
      </c>
      <c r="R656" t="s">
        <v>5075</v>
      </c>
      <c r="S656" t="s">
        <v>5076</v>
      </c>
    </row>
    <row r="657" spans="1:19" x14ac:dyDescent="0.25">
      <c r="A657" t="s">
        <v>5077</v>
      </c>
      <c r="B657" t="s">
        <v>5078</v>
      </c>
      <c r="C657">
        <v>2017</v>
      </c>
      <c r="D657">
        <v>8</v>
      </c>
      <c r="E657">
        <v>1</v>
      </c>
      <c r="F657" t="s">
        <v>5006</v>
      </c>
      <c r="G657" t="s">
        <v>5007</v>
      </c>
      <c r="H657">
        <v>198</v>
      </c>
      <c r="J657" t="s">
        <v>5079</v>
      </c>
      <c r="K657" t="s">
        <v>5080</v>
      </c>
      <c r="M657" t="s">
        <v>4786</v>
      </c>
      <c r="O657" t="s">
        <v>5081</v>
      </c>
      <c r="Q657" t="s">
        <v>5082</v>
      </c>
      <c r="R657" t="s">
        <v>5083</v>
      </c>
      <c r="S657" t="s">
        <v>5084</v>
      </c>
    </row>
    <row r="658" spans="1:19" x14ac:dyDescent="0.25">
      <c r="A658" t="s">
        <v>5085</v>
      </c>
      <c r="B658" t="s">
        <v>5086</v>
      </c>
      <c r="C658">
        <v>2022</v>
      </c>
      <c r="D658">
        <v>1</v>
      </c>
      <c r="E658">
        <v>1</v>
      </c>
      <c r="F658" t="s">
        <v>5087</v>
      </c>
      <c r="G658" t="s">
        <v>5088</v>
      </c>
      <c r="H658">
        <v>10</v>
      </c>
      <c r="I658">
        <v>1</v>
      </c>
      <c r="K658" t="s">
        <v>5089</v>
      </c>
      <c r="M658" t="s">
        <v>4786</v>
      </c>
      <c r="O658" t="s">
        <v>5090</v>
      </c>
      <c r="Q658" t="s">
        <v>5091</v>
      </c>
      <c r="R658" t="s">
        <v>5092</v>
      </c>
      <c r="S658" t="s">
        <v>5093</v>
      </c>
    </row>
    <row r="659" spans="1:19" x14ac:dyDescent="0.25">
      <c r="A659" t="s">
        <v>5094</v>
      </c>
      <c r="B659" t="s">
        <v>5095</v>
      </c>
      <c r="C659">
        <v>2016</v>
      </c>
      <c r="D659">
        <v>10</v>
      </c>
      <c r="F659" t="s">
        <v>5096</v>
      </c>
      <c r="G659" t="s">
        <v>5097</v>
      </c>
      <c r="H659">
        <v>69</v>
      </c>
      <c r="J659" t="s">
        <v>5098</v>
      </c>
      <c r="K659" t="s">
        <v>5099</v>
      </c>
      <c r="M659" t="s">
        <v>4786</v>
      </c>
      <c r="O659" t="s">
        <v>5100</v>
      </c>
      <c r="Q659" t="s">
        <v>5101</v>
      </c>
      <c r="R659" t="s">
        <v>5102</v>
      </c>
      <c r="S659" t="s">
        <v>5103</v>
      </c>
    </row>
    <row r="660" spans="1:19" x14ac:dyDescent="0.25">
      <c r="A660" t="s">
        <v>5104</v>
      </c>
      <c r="B660" t="s">
        <v>5105</v>
      </c>
      <c r="C660">
        <v>2022</v>
      </c>
      <c r="D660">
        <v>3</v>
      </c>
      <c r="F660" t="s">
        <v>5106</v>
      </c>
      <c r="G660" t="s">
        <v>5107</v>
      </c>
      <c r="H660">
        <v>27</v>
      </c>
      <c r="I660">
        <v>1</v>
      </c>
      <c r="K660" t="s">
        <v>5108</v>
      </c>
      <c r="M660" t="s">
        <v>4786</v>
      </c>
      <c r="O660" t="s">
        <v>5109</v>
      </c>
      <c r="Q660" t="s">
        <v>5110</v>
      </c>
      <c r="R660" t="s">
        <v>5111</v>
      </c>
      <c r="S660" t="s">
        <v>5112</v>
      </c>
    </row>
    <row r="661" spans="1:19" x14ac:dyDescent="0.25">
      <c r="A661" t="s">
        <v>5113</v>
      </c>
      <c r="B661" t="s">
        <v>5114</v>
      </c>
      <c r="C661">
        <v>1995</v>
      </c>
      <c r="D661">
        <v>2</v>
      </c>
      <c r="F661" t="s">
        <v>4840</v>
      </c>
      <c r="G661" t="s">
        <v>5115</v>
      </c>
      <c r="H661">
        <v>5</v>
      </c>
      <c r="I661">
        <v>1</v>
      </c>
      <c r="J661" t="s">
        <v>5116</v>
      </c>
      <c r="K661" t="s">
        <v>5117</v>
      </c>
      <c r="M661" t="s">
        <v>4786</v>
      </c>
      <c r="Q661" t="s">
        <v>5118</v>
      </c>
      <c r="R661" t="s">
        <v>5119</v>
      </c>
      <c r="S661" t="s">
        <v>5120</v>
      </c>
    </row>
    <row r="662" spans="1:19" x14ac:dyDescent="0.25">
      <c r="A662" t="s">
        <v>5121</v>
      </c>
      <c r="B662" t="s">
        <v>5122</v>
      </c>
      <c r="C662">
        <v>2018</v>
      </c>
      <c r="D662">
        <v>9</v>
      </c>
      <c r="E662">
        <v>15</v>
      </c>
      <c r="F662" t="s">
        <v>5006</v>
      </c>
      <c r="G662" t="s">
        <v>5007</v>
      </c>
      <c r="H662">
        <v>222</v>
      </c>
      <c r="J662" t="s">
        <v>5123</v>
      </c>
      <c r="K662" t="s">
        <v>5124</v>
      </c>
      <c r="M662" t="s">
        <v>4786</v>
      </c>
      <c r="O662" t="s">
        <v>5125</v>
      </c>
      <c r="Q662" t="s">
        <v>5126</v>
      </c>
      <c r="R662" t="s">
        <v>5127</v>
      </c>
      <c r="S662" t="s">
        <v>5128</v>
      </c>
    </row>
    <row r="663" spans="1:19" x14ac:dyDescent="0.25">
      <c r="A663" t="s">
        <v>5129</v>
      </c>
      <c r="B663" t="s">
        <v>5130</v>
      </c>
      <c r="C663">
        <v>2020</v>
      </c>
      <c r="D663">
        <v>12</v>
      </c>
      <c r="F663" t="s">
        <v>4866</v>
      </c>
      <c r="G663" t="s">
        <v>4867</v>
      </c>
      <c r="H663">
        <v>70</v>
      </c>
      <c r="I663">
        <v>12</v>
      </c>
      <c r="J663" t="s">
        <v>5131</v>
      </c>
      <c r="K663" t="s">
        <v>5132</v>
      </c>
      <c r="M663" t="s">
        <v>4786</v>
      </c>
      <c r="O663" t="s">
        <v>5133</v>
      </c>
      <c r="Q663" t="s">
        <v>5134</v>
      </c>
      <c r="R663" t="s">
        <v>5135</v>
      </c>
      <c r="S663" t="s">
        <v>5136</v>
      </c>
    </row>
    <row r="664" spans="1:19" x14ac:dyDescent="0.25">
      <c r="A664" t="s">
        <v>5137</v>
      </c>
      <c r="B664" t="s">
        <v>5138</v>
      </c>
      <c r="C664">
        <v>2023</v>
      </c>
      <c r="D664">
        <v>10</v>
      </c>
      <c r="F664" t="s">
        <v>5016</v>
      </c>
      <c r="G664" t="s">
        <v>5017</v>
      </c>
      <c r="H664">
        <v>156</v>
      </c>
      <c r="K664" t="s">
        <v>5139</v>
      </c>
      <c r="M664" t="s">
        <v>4786</v>
      </c>
      <c r="O664" t="s">
        <v>5140</v>
      </c>
      <c r="Q664" t="s">
        <v>5141</v>
      </c>
      <c r="R664" t="s">
        <v>5142</v>
      </c>
      <c r="S664" t="s">
        <v>5143</v>
      </c>
    </row>
    <row r="665" spans="1:19" x14ac:dyDescent="0.25">
      <c r="A665" t="s">
        <v>5144</v>
      </c>
      <c r="B665" t="s">
        <v>5145</v>
      </c>
      <c r="C665">
        <v>2020</v>
      </c>
      <c r="D665">
        <v>9</v>
      </c>
      <c r="F665" t="s">
        <v>5146</v>
      </c>
      <c r="G665" t="s">
        <v>5147</v>
      </c>
      <c r="H665">
        <v>118</v>
      </c>
      <c r="K665" t="s">
        <v>5148</v>
      </c>
      <c r="M665" t="s">
        <v>4786</v>
      </c>
      <c r="O665" t="s">
        <v>5149</v>
      </c>
      <c r="Q665" t="s">
        <v>5150</v>
      </c>
      <c r="R665" t="s">
        <v>5151</v>
      </c>
      <c r="S665" t="s">
        <v>5152</v>
      </c>
    </row>
    <row r="666" spans="1:19" x14ac:dyDescent="0.25">
      <c r="A666" t="s">
        <v>5153</v>
      </c>
      <c r="B666" t="s">
        <v>5154</v>
      </c>
      <c r="C666">
        <v>2023</v>
      </c>
      <c r="D666">
        <v>11</v>
      </c>
      <c r="E666">
        <v>2</v>
      </c>
      <c r="F666" t="s">
        <v>5155</v>
      </c>
      <c r="G666" t="s">
        <v>5156</v>
      </c>
      <c r="H666">
        <v>36</v>
      </c>
      <c r="I666">
        <v>11</v>
      </c>
      <c r="J666" t="s">
        <v>5157</v>
      </c>
      <c r="K666" t="s">
        <v>5158</v>
      </c>
      <c r="M666" t="s">
        <v>4786</v>
      </c>
      <c r="O666" t="s">
        <v>5159</v>
      </c>
      <c r="Q666" t="s">
        <v>5160</v>
      </c>
      <c r="R666" t="s">
        <v>5161</v>
      </c>
      <c r="S666" t="s">
        <v>5162</v>
      </c>
    </row>
    <row r="667" spans="1:19" x14ac:dyDescent="0.25">
      <c r="A667" t="s">
        <v>5163</v>
      </c>
      <c r="B667" t="s">
        <v>5164</v>
      </c>
      <c r="C667">
        <v>2023</v>
      </c>
      <c r="D667">
        <v>3</v>
      </c>
      <c r="F667" t="s">
        <v>5165</v>
      </c>
      <c r="G667" t="s">
        <v>5166</v>
      </c>
      <c r="H667">
        <v>41</v>
      </c>
      <c r="I667">
        <v>2</v>
      </c>
      <c r="K667" t="s">
        <v>5167</v>
      </c>
      <c r="M667" t="s">
        <v>4786</v>
      </c>
      <c r="O667" t="s">
        <v>5168</v>
      </c>
      <c r="Q667" t="s">
        <v>5169</v>
      </c>
      <c r="R667" t="s">
        <v>5170</v>
      </c>
      <c r="S667" t="s">
        <v>5171</v>
      </c>
    </row>
    <row r="668" spans="1:19" x14ac:dyDescent="0.25">
      <c r="A668" t="s">
        <v>5172</v>
      </c>
      <c r="B668" t="s">
        <v>5173</v>
      </c>
      <c r="C668">
        <v>2020</v>
      </c>
      <c r="D668">
        <v>9</v>
      </c>
      <c r="F668" t="s">
        <v>5174</v>
      </c>
      <c r="G668" t="s">
        <v>5175</v>
      </c>
      <c r="H668">
        <v>49</v>
      </c>
      <c r="I668">
        <v>9</v>
      </c>
      <c r="J668" t="s">
        <v>5176</v>
      </c>
      <c r="K668" t="s">
        <v>5177</v>
      </c>
      <c r="M668" t="s">
        <v>4786</v>
      </c>
      <c r="O668" t="s">
        <v>5178</v>
      </c>
      <c r="Q668" t="s">
        <v>5179</v>
      </c>
      <c r="R668" t="s">
        <v>5180</v>
      </c>
      <c r="S668" t="s">
        <v>5181</v>
      </c>
    </row>
    <row r="669" spans="1:19" x14ac:dyDescent="0.25">
      <c r="A669" t="s">
        <v>5182</v>
      </c>
      <c r="B669" t="s">
        <v>5183</v>
      </c>
      <c r="C669">
        <v>2011</v>
      </c>
      <c r="D669">
        <v>6</v>
      </c>
      <c r="F669" t="s">
        <v>5184</v>
      </c>
      <c r="G669" t="s">
        <v>5185</v>
      </c>
      <c r="H669">
        <v>21</v>
      </c>
      <c r="I669">
        <v>2</v>
      </c>
      <c r="J669" t="s">
        <v>5186</v>
      </c>
      <c r="K669" t="s">
        <v>5187</v>
      </c>
      <c r="M669" t="s">
        <v>4786</v>
      </c>
      <c r="O669" t="s">
        <v>5188</v>
      </c>
      <c r="Q669" t="s">
        <v>5189</v>
      </c>
      <c r="R669" t="s">
        <v>5190</v>
      </c>
      <c r="S669" t="s">
        <v>5191</v>
      </c>
    </row>
    <row r="670" spans="1:19" x14ac:dyDescent="0.25">
      <c r="A670" t="s">
        <v>5192</v>
      </c>
      <c r="B670" t="s">
        <v>5193</v>
      </c>
      <c r="C670">
        <v>2023</v>
      </c>
      <c r="D670">
        <v>7</v>
      </c>
      <c r="E670">
        <v>17</v>
      </c>
      <c r="F670" t="s">
        <v>4849</v>
      </c>
      <c r="G670" t="s">
        <v>4850</v>
      </c>
      <c r="H670">
        <v>378</v>
      </c>
      <c r="I670">
        <v>1881</v>
      </c>
      <c r="K670" t="s">
        <v>5194</v>
      </c>
      <c r="M670" t="s">
        <v>4786</v>
      </c>
      <c r="O670" t="s">
        <v>5195</v>
      </c>
      <c r="Q670" t="s">
        <v>5196</v>
      </c>
      <c r="R670" t="s">
        <v>5197</v>
      </c>
      <c r="S670" t="s">
        <v>5198</v>
      </c>
    </row>
    <row r="671" spans="1:19" x14ac:dyDescent="0.25">
      <c r="A671" t="s">
        <v>5199</v>
      </c>
      <c r="B671" t="s">
        <v>5200</v>
      </c>
      <c r="C671">
        <v>2012</v>
      </c>
      <c r="D671">
        <v>3</v>
      </c>
      <c r="F671" t="s">
        <v>5201</v>
      </c>
      <c r="G671" t="s">
        <v>5202</v>
      </c>
      <c r="H671">
        <v>20</v>
      </c>
      <c r="I671">
        <v>2</v>
      </c>
      <c r="J671" t="s">
        <v>5203</v>
      </c>
      <c r="K671" t="s">
        <v>5204</v>
      </c>
      <c r="M671" t="s">
        <v>4786</v>
      </c>
      <c r="O671" t="s">
        <v>5205</v>
      </c>
      <c r="Q671" t="s">
        <v>5206</v>
      </c>
      <c r="R671" t="s">
        <v>5207</v>
      </c>
      <c r="S671" t="s">
        <v>5208</v>
      </c>
    </row>
    <row r="672" spans="1:19" x14ac:dyDescent="0.25">
      <c r="A672" t="s">
        <v>5209</v>
      </c>
      <c r="B672" t="s">
        <v>5210</v>
      </c>
      <c r="C672">
        <v>2024</v>
      </c>
      <c r="D672">
        <v>1</v>
      </c>
      <c r="F672" t="s">
        <v>5211</v>
      </c>
      <c r="G672" t="s">
        <v>5212</v>
      </c>
      <c r="H672">
        <v>25</v>
      </c>
      <c r="I672">
        <v>1</v>
      </c>
      <c r="J672" t="s">
        <v>5213</v>
      </c>
      <c r="K672" t="s">
        <v>5214</v>
      </c>
      <c r="M672" t="s">
        <v>4786</v>
      </c>
      <c r="O672" t="s">
        <v>5215</v>
      </c>
      <c r="Q672" t="s">
        <v>5216</v>
      </c>
      <c r="R672" t="s">
        <v>5217</v>
      </c>
      <c r="S672" t="s">
        <v>5218</v>
      </c>
    </row>
    <row r="673" spans="1:19" x14ac:dyDescent="0.25">
      <c r="A673" t="s">
        <v>5219</v>
      </c>
      <c r="B673" t="s">
        <v>5220</v>
      </c>
      <c r="C673">
        <v>2015</v>
      </c>
      <c r="D673">
        <v>10</v>
      </c>
      <c r="F673" t="s">
        <v>5016</v>
      </c>
      <c r="G673" t="s">
        <v>5017</v>
      </c>
      <c r="H673">
        <v>60</v>
      </c>
      <c r="J673" t="s">
        <v>5221</v>
      </c>
      <c r="K673" t="s">
        <v>5222</v>
      </c>
      <c r="M673" t="s">
        <v>4786</v>
      </c>
      <c r="O673" t="s">
        <v>5223</v>
      </c>
      <c r="Q673" t="s">
        <v>5224</v>
      </c>
      <c r="R673" t="s">
        <v>5225</v>
      </c>
      <c r="S673" t="s">
        <v>5226</v>
      </c>
    </row>
    <row r="674" spans="1:19" x14ac:dyDescent="0.25">
      <c r="A674" t="s">
        <v>5227</v>
      </c>
      <c r="B674" t="s">
        <v>5228</v>
      </c>
      <c r="C674">
        <v>2023</v>
      </c>
      <c r="D674">
        <v>2</v>
      </c>
      <c r="F674" t="s">
        <v>5229</v>
      </c>
      <c r="G674" t="s">
        <v>5230</v>
      </c>
      <c r="H674">
        <v>51</v>
      </c>
      <c r="I674">
        <v>1</v>
      </c>
      <c r="J674" t="s">
        <v>5231</v>
      </c>
      <c r="K674" t="s">
        <v>5232</v>
      </c>
      <c r="M674" t="s">
        <v>4786</v>
      </c>
      <c r="O674" t="s">
        <v>5233</v>
      </c>
      <c r="Q674" t="s">
        <v>5234</v>
      </c>
      <c r="R674" t="s">
        <v>5235</v>
      </c>
      <c r="S674" t="s">
        <v>5236</v>
      </c>
    </row>
    <row r="675" spans="1:19" x14ac:dyDescent="0.25">
      <c r="A675" t="s">
        <v>5237</v>
      </c>
      <c r="B675" t="s">
        <v>5238</v>
      </c>
      <c r="C675">
        <v>2005</v>
      </c>
      <c r="D675">
        <v>11</v>
      </c>
      <c r="F675" t="s">
        <v>4866</v>
      </c>
      <c r="G675" t="s">
        <v>4867</v>
      </c>
      <c r="H675">
        <v>55</v>
      </c>
      <c r="I675">
        <v>11</v>
      </c>
      <c r="J675" t="s">
        <v>5239</v>
      </c>
      <c r="K675" t="s">
        <v>5240</v>
      </c>
      <c r="M675" t="s">
        <v>4786</v>
      </c>
      <c r="O675" t="s">
        <v>5241</v>
      </c>
      <c r="Q675" t="s">
        <v>5242</v>
      </c>
      <c r="R675" t="s">
        <v>5243</v>
      </c>
      <c r="S675" t="s">
        <v>5244</v>
      </c>
    </row>
    <row r="676" spans="1:19" x14ac:dyDescent="0.25">
      <c r="A676" t="s">
        <v>5245</v>
      </c>
      <c r="B676" t="s">
        <v>5246</v>
      </c>
      <c r="C676">
        <v>2025</v>
      </c>
      <c r="D676">
        <v>1</v>
      </c>
      <c r="F676" t="s">
        <v>5247</v>
      </c>
      <c r="G676" t="s">
        <v>5248</v>
      </c>
      <c r="H676">
        <v>20</v>
      </c>
      <c r="I676">
        <v>1</v>
      </c>
      <c r="J676" t="s">
        <v>5249</v>
      </c>
      <c r="K676" t="s">
        <v>5250</v>
      </c>
      <c r="M676" t="s">
        <v>4786</v>
      </c>
      <c r="O676" t="s">
        <v>5251</v>
      </c>
      <c r="Q676" t="s">
        <v>5252</v>
      </c>
      <c r="R676" t="s">
        <v>5253</v>
      </c>
      <c r="S676" t="s">
        <v>5254</v>
      </c>
    </row>
    <row r="677" spans="1:19" x14ac:dyDescent="0.25">
      <c r="A677" t="s">
        <v>5255</v>
      </c>
      <c r="B677" t="s">
        <v>5256</v>
      </c>
      <c r="C677">
        <v>2023</v>
      </c>
      <c r="D677">
        <v>5</v>
      </c>
      <c r="E677">
        <v>20</v>
      </c>
      <c r="F677" t="s">
        <v>4905</v>
      </c>
      <c r="G677" t="s">
        <v>4906</v>
      </c>
      <c r="H677">
        <v>12</v>
      </c>
      <c r="I677">
        <v>5</v>
      </c>
      <c r="K677" t="s">
        <v>5257</v>
      </c>
      <c r="M677" t="s">
        <v>4786</v>
      </c>
      <c r="O677" t="s">
        <v>5258</v>
      </c>
      <c r="Q677" t="s">
        <v>5259</v>
      </c>
      <c r="R677" t="s">
        <v>5260</v>
      </c>
      <c r="S677" t="s">
        <v>5261</v>
      </c>
    </row>
    <row r="678" spans="1:19" x14ac:dyDescent="0.25">
      <c r="A678" t="s">
        <v>5262</v>
      </c>
      <c r="B678" t="s">
        <v>5263</v>
      </c>
      <c r="C678">
        <v>2020</v>
      </c>
      <c r="D678">
        <v>10</v>
      </c>
      <c r="F678" t="s">
        <v>5264</v>
      </c>
      <c r="G678" t="s">
        <v>5265</v>
      </c>
      <c r="H678">
        <v>13</v>
      </c>
      <c r="J678" t="s">
        <v>5266</v>
      </c>
      <c r="K678" t="s">
        <v>5267</v>
      </c>
      <c r="M678" t="s">
        <v>4786</v>
      </c>
      <c r="O678" t="s">
        <v>5268</v>
      </c>
      <c r="Q678" t="s">
        <v>5269</v>
      </c>
      <c r="R678" t="s">
        <v>5270</v>
      </c>
      <c r="S678" t="s">
        <v>5271</v>
      </c>
    </row>
    <row r="679" spans="1:19" x14ac:dyDescent="0.25">
      <c r="A679" t="s">
        <v>5272</v>
      </c>
      <c r="B679" t="s">
        <v>5273</v>
      </c>
      <c r="C679">
        <v>2022</v>
      </c>
      <c r="D679">
        <v>1</v>
      </c>
      <c r="F679" t="s">
        <v>5274</v>
      </c>
      <c r="G679" t="s">
        <v>5275</v>
      </c>
      <c r="H679">
        <v>3</v>
      </c>
      <c r="I679">
        <v>1</v>
      </c>
      <c r="K679" t="s">
        <v>5276</v>
      </c>
      <c r="M679" t="s">
        <v>4786</v>
      </c>
      <c r="O679" t="s">
        <v>5277</v>
      </c>
      <c r="Q679" t="s">
        <v>5278</v>
      </c>
      <c r="R679" t="s">
        <v>5279</v>
      </c>
      <c r="S679" t="s">
        <v>5280</v>
      </c>
    </row>
    <row r="680" spans="1:19" x14ac:dyDescent="0.25">
      <c r="A680" t="s">
        <v>5281</v>
      </c>
      <c r="B680" t="s">
        <v>5282</v>
      </c>
      <c r="C680">
        <v>2019</v>
      </c>
      <c r="D680">
        <v>8</v>
      </c>
      <c r="F680" t="s">
        <v>4885</v>
      </c>
      <c r="G680" t="s">
        <v>4886</v>
      </c>
      <c r="H680">
        <v>33</v>
      </c>
      <c r="I680">
        <v>4</v>
      </c>
      <c r="J680" t="s">
        <v>5283</v>
      </c>
      <c r="K680" t="s">
        <v>5284</v>
      </c>
      <c r="M680" t="s">
        <v>4786</v>
      </c>
      <c r="O680" t="s">
        <v>5285</v>
      </c>
      <c r="Q680" t="s">
        <v>5286</v>
      </c>
      <c r="R680" t="s">
        <v>5287</v>
      </c>
      <c r="S680" t="s">
        <v>5288</v>
      </c>
    </row>
    <row r="681" spans="1:19" x14ac:dyDescent="0.25">
      <c r="A681" t="s">
        <v>5289</v>
      </c>
      <c r="B681" t="s">
        <v>5290</v>
      </c>
      <c r="C681">
        <v>2021</v>
      </c>
      <c r="D681">
        <v>11</v>
      </c>
      <c r="E681">
        <v>1</v>
      </c>
      <c r="F681" t="s">
        <v>5291</v>
      </c>
      <c r="G681" t="s">
        <v>5292</v>
      </c>
      <c r="H681">
        <v>3</v>
      </c>
      <c r="K681" t="s">
        <v>5293</v>
      </c>
      <c r="M681" t="s">
        <v>4786</v>
      </c>
      <c r="O681" t="s">
        <v>5294</v>
      </c>
      <c r="Q681" t="s">
        <v>5295</v>
      </c>
      <c r="R681" t="s">
        <v>5296</v>
      </c>
      <c r="S681" t="s">
        <v>5297</v>
      </c>
    </row>
    <row r="682" spans="1:19" x14ac:dyDescent="0.25">
      <c r="A682" t="s">
        <v>5298</v>
      </c>
      <c r="B682" t="s">
        <v>5299</v>
      </c>
      <c r="C682">
        <v>2023</v>
      </c>
      <c r="D682">
        <v>3</v>
      </c>
      <c r="F682" t="s">
        <v>5300</v>
      </c>
      <c r="G682" t="s">
        <v>5301</v>
      </c>
      <c r="H682">
        <v>60</v>
      </c>
      <c r="I682">
        <v>3</v>
      </c>
      <c r="J682" t="s">
        <v>5302</v>
      </c>
      <c r="K682" t="s">
        <v>5303</v>
      </c>
      <c r="M682" t="s">
        <v>4786</v>
      </c>
      <c r="O682" t="s">
        <v>5304</v>
      </c>
      <c r="Q682" t="s">
        <v>5305</v>
      </c>
      <c r="R682" t="s">
        <v>5306</v>
      </c>
      <c r="S682" t="s">
        <v>5307</v>
      </c>
    </row>
    <row r="683" spans="1:19" x14ac:dyDescent="0.25">
      <c r="A683" t="s">
        <v>5308</v>
      </c>
      <c r="B683" t="s">
        <v>5309</v>
      </c>
      <c r="C683">
        <v>2018</v>
      </c>
      <c r="D683">
        <v>8</v>
      </c>
      <c r="F683" t="s">
        <v>4943</v>
      </c>
      <c r="G683" t="s">
        <v>4944</v>
      </c>
      <c r="H683">
        <v>86</v>
      </c>
      <c r="J683" t="s">
        <v>5310</v>
      </c>
      <c r="K683" t="s">
        <v>5311</v>
      </c>
      <c r="M683" t="s">
        <v>4786</v>
      </c>
      <c r="O683" t="s">
        <v>5312</v>
      </c>
      <c r="Q683" t="s">
        <v>5313</v>
      </c>
      <c r="R683" t="s">
        <v>5314</v>
      </c>
      <c r="S683" t="s">
        <v>5315</v>
      </c>
    </row>
    <row r="684" spans="1:19" x14ac:dyDescent="0.25">
      <c r="A684" t="s">
        <v>5316</v>
      </c>
      <c r="B684" t="s">
        <v>5317</v>
      </c>
      <c r="C684">
        <v>2023</v>
      </c>
      <c r="D684">
        <v>3</v>
      </c>
      <c r="F684" t="s">
        <v>5247</v>
      </c>
      <c r="G684" t="s">
        <v>5248</v>
      </c>
      <c r="H684">
        <v>18</v>
      </c>
      <c r="I684">
        <v>2</v>
      </c>
      <c r="J684" t="s">
        <v>5318</v>
      </c>
      <c r="K684" t="s">
        <v>5319</v>
      </c>
      <c r="M684" t="s">
        <v>4786</v>
      </c>
      <c r="O684" t="s">
        <v>5320</v>
      </c>
      <c r="Q684" t="s">
        <v>5321</v>
      </c>
      <c r="R684" t="s">
        <v>5322</v>
      </c>
      <c r="S684" t="s">
        <v>5323</v>
      </c>
    </row>
    <row r="685" spans="1:19" x14ac:dyDescent="0.25">
      <c r="A685" t="s">
        <v>5324</v>
      </c>
      <c r="B685" t="s">
        <v>5325</v>
      </c>
      <c r="C685">
        <v>2016</v>
      </c>
      <c r="F685" t="s">
        <v>5326</v>
      </c>
      <c r="G685" t="s">
        <v>5327</v>
      </c>
      <c r="H685">
        <v>30</v>
      </c>
      <c r="J685" s="2">
        <v>43405</v>
      </c>
      <c r="K685" t="s">
        <v>5328</v>
      </c>
      <c r="M685" t="s">
        <v>4786</v>
      </c>
      <c r="O685" t="s">
        <v>5329</v>
      </c>
      <c r="Q685" t="s">
        <v>5330</v>
      </c>
      <c r="R685" t="s">
        <v>5331</v>
      </c>
      <c r="S685" t="s">
        <v>5332</v>
      </c>
    </row>
    <row r="686" spans="1:19" x14ac:dyDescent="0.25">
      <c r="A686" t="s">
        <v>5333</v>
      </c>
      <c r="B686" t="s">
        <v>5334</v>
      </c>
      <c r="C686">
        <v>2024</v>
      </c>
      <c r="D686">
        <v>12</v>
      </c>
      <c r="E686">
        <v>7</v>
      </c>
      <c r="F686" t="s">
        <v>5335</v>
      </c>
      <c r="G686" t="s">
        <v>5336</v>
      </c>
      <c r="K686" t="s">
        <v>5337</v>
      </c>
      <c r="M686" t="s">
        <v>4786</v>
      </c>
      <c r="O686" t="s">
        <v>5338</v>
      </c>
      <c r="Q686" t="s">
        <v>5339</v>
      </c>
      <c r="R686" t="s">
        <v>5340</v>
      </c>
      <c r="S686" t="s">
        <v>5341</v>
      </c>
    </row>
    <row r="687" spans="1:19" x14ac:dyDescent="0.25">
      <c r="A687" t="s">
        <v>5342</v>
      </c>
      <c r="B687" t="s">
        <v>5343</v>
      </c>
      <c r="C687">
        <v>2024</v>
      </c>
      <c r="D687">
        <v>10</v>
      </c>
      <c r="E687">
        <v>25</v>
      </c>
      <c r="F687" t="s">
        <v>5335</v>
      </c>
      <c r="G687" t="s">
        <v>5336</v>
      </c>
      <c r="K687" t="s">
        <v>5344</v>
      </c>
      <c r="M687" t="s">
        <v>4786</v>
      </c>
      <c r="O687" t="s">
        <v>5345</v>
      </c>
      <c r="Q687" t="s">
        <v>5346</v>
      </c>
      <c r="R687" t="s">
        <v>5347</v>
      </c>
      <c r="S687" t="s">
        <v>5348</v>
      </c>
    </row>
    <row r="688" spans="1:19" x14ac:dyDescent="0.25">
      <c r="A688" t="s">
        <v>5349</v>
      </c>
      <c r="B688" t="s">
        <v>5350</v>
      </c>
      <c r="C688">
        <v>2019</v>
      </c>
      <c r="D688">
        <v>6</v>
      </c>
      <c r="E688">
        <v>3</v>
      </c>
      <c r="F688" t="s">
        <v>5155</v>
      </c>
      <c r="G688" t="s">
        <v>5156</v>
      </c>
      <c r="H688">
        <v>32</v>
      </c>
      <c r="I688">
        <v>7</v>
      </c>
      <c r="J688" t="s">
        <v>5351</v>
      </c>
      <c r="K688" t="s">
        <v>5352</v>
      </c>
      <c r="M688" t="s">
        <v>4786</v>
      </c>
      <c r="O688" t="s">
        <v>5353</v>
      </c>
      <c r="Q688" t="s">
        <v>5354</v>
      </c>
      <c r="R688" t="s">
        <v>5355</v>
      </c>
      <c r="S688" t="s">
        <v>5356</v>
      </c>
    </row>
    <row r="689" spans="1:19" x14ac:dyDescent="0.25">
      <c r="A689" t="s">
        <v>5357</v>
      </c>
      <c r="B689" t="s">
        <v>5358</v>
      </c>
      <c r="C689">
        <v>2020</v>
      </c>
      <c r="D689">
        <v>8</v>
      </c>
      <c r="F689" t="s">
        <v>5359</v>
      </c>
      <c r="G689" t="s">
        <v>5360</v>
      </c>
      <c r="H689">
        <v>248</v>
      </c>
      <c r="K689" t="s">
        <v>5361</v>
      </c>
      <c r="M689" t="s">
        <v>4786</v>
      </c>
      <c r="O689" t="s">
        <v>5362</v>
      </c>
      <c r="Q689" t="s">
        <v>5363</v>
      </c>
      <c r="R689" t="s">
        <v>5364</v>
      </c>
      <c r="S689" t="s">
        <v>5365</v>
      </c>
    </row>
    <row r="690" spans="1:19" x14ac:dyDescent="0.25">
      <c r="A690" t="s">
        <v>5366</v>
      </c>
      <c r="B690" t="s">
        <v>5367</v>
      </c>
      <c r="C690">
        <v>2019</v>
      </c>
      <c r="D690">
        <v>9</v>
      </c>
      <c r="F690" t="s">
        <v>5359</v>
      </c>
      <c r="G690" t="s">
        <v>5360</v>
      </c>
      <c r="H690">
        <v>237</v>
      </c>
      <c r="J690" t="s">
        <v>5368</v>
      </c>
      <c r="K690" t="s">
        <v>5369</v>
      </c>
      <c r="M690" t="s">
        <v>4786</v>
      </c>
      <c r="O690" t="s">
        <v>5370</v>
      </c>
      <c r="Q690" t="s">
        <v>5371</v>
      </c>
      <c r="R690" t="s">
        <v>5372</v>
      </c>
      <c r="S690" t="s">
        <v>5373</v>
      </c>
    </row>
    <row r="691" spans="1:19" x14ac:dyDescent="0.25">
      <c r="A691" t="s">
        <v>5374</v>
      </c>
      <c r="B691" t="s">
        <v>5375</v>
      </c>
      <c r="C691">
        <v>2009</v>
      </c>
      <c r="D691">
        <v>10</v>
      </c>
      <c r="F691" t="s">
        <v>5300</v>
      </c>
      <c r="G691" t="s">
        <v>5301</v>
      </c>
      <c r="H691">
        <v>46</v>
      </c>
      <c r="I691">
        <v>5</v>
      </c>
      <c r="J691" t="s">
        <v>5376</v>
      </c>
      <c r="K691" t="s">
        <v>5377</v>
      </c>
      <c r="M691" t="s">
        <v>4786</v>
      </c>
      <c r="O691" t="s">
        <v>5378</v>
      </c>
      <c r="Q691" t="s">
        <v>5379</v>
      </c>
      <c r="R691" t="s">
        <v>5380</v>
      </c>
      <c r="S691" t="s">
        <v>5381</v>
      </c>
    </row>
    <row r="692" spans="1:19" x14ac:dyDescent="0.25">
      <c r="A692" t="s">
        <v>5382</v>
      </c>
      <c r="B692" t="s">
        <v>5383</v>
      </c>
      <c r="C692">
        <v>2022</v>
      </c>
      <c r="D692">
        <v>11</v>
      </c>
      <c r="F692" t="s">
        <v>5384</v>
      </c>
      <c r="G692" t="s">
        <v>5385</v>
      </c>
      <c r="H692">
        <v>15</v>
      </c>
      <c r="I692">
        <v>6</v>
      </c>
      <c r="K692" t="s">
        <v>5386</v>
      </c>
      <c r="M692" t="s">
        <v>4786</v>
      </c>
      <c r="O692" t="s">
        <v>5387</v>
      </c>
      <c r="Q692" t="s">
        <v>5388</v>
      </c>
      <c r="R692" t="s">
        <v>5389</v>
      </c>
      <c r="S692" t="s">
        <v>5390</v>
      </c>
    </row>
    <row r="693" spans="1:19" x14ac:dyDescent="0.25">
      <c r="A693" t="s">
        <v>5391</v>
      </c>
      <c r="B693" t="s">
        <v>5392</v>
      </c>
      <c r="C693">
        <v>2023</v>
      </c>
      <c r="D693">
        <v>2</v>
      </c>
      <c r="F693" t="s">
        <v>4943</v>
      </c>
      <c r="G693" t="s">
        <v>4944</v>
      </c>
      <c r="H693">
        <v>140</v>
      </c>
      <c r="J693" t="s">
        <v>5393</v>
      </c>
      <c r="K693" t="s">
        <v>5394</v>
      </c>
      <c r="M693" t="s">
        <v>4786</v>
      </c>
      <c r="O693" t="s">
        <v>5395</v>
      </c>
      <c r="Q693" t="s">
        <v>5396</v>
      </c>
      <c r="R693" t="s">
        <v>5397</v>
      </c>
      <c r="S693" t="s">
        <v>5398</v>
      </c>
    </row>
    <row r="694" spans="1:19" x14ac:dyDescent="0.25">
      <c r="A694" t="s">
        <v>5399</v>
      </c>
      <c r="B694" t="s">
        <v>5400</v>
      </c>
      <c r="C694">
        <v>2018</v>
      </c>
      <c r="D694">
        <v>1</v>
      </c>
      <c r="F694" t="s">
        <v>5401</v>
      </c>
      <c r="G694" t="s">
        <v>5402</v>
      </c>
      <c r="H694">
        <v>16</v>
      </c>
      <c r="I694">
        <v>1</v>
      </c>
      <c r="J694" t="s">
        <v>5403</v>
      </c>
      <c r="K694" t="s">
        <v>5404</v>
      </c>
      <c r="M694" t="s">
        <v>4786</v>
      </c>
      <c r="O694" t="s">
        <v>5405</v>
      </c>
      <c r="Q694" t="s">
        <v>5406</v>
      </c>
      <c r="R694" t="s">
        <v>5407</v>
      </c>
      <c r="S694" t="s">
        <v>5408</v>
      </c>
    </row>
    <row r="695" spans="1:19" x14ac:dyDescent="0.25">
      <c r="A695" t="s">
        <v>5409</v>
      </c>
      <c r="B695" t="s">
        <v>5410</v>
      </c>
      <c r="C695">
        <v>2021</v>
      </c>
      <c r="D695">
        <v>4</v>
      </c>
      <c r="F695" t="s">
        <v>5274</v>
      </c>
      <c r="G695" t="s">
        <v>5275</v>
      </c>
      <c r="H695">
        <v>2</v>
      </c>
      <c r="I695">
        <v>2</v>
      </c>
      <c r="K695" t="s">
        <v>5411</v>
      </c>
      <c r="M695" t="s">
        <v>4786</v>
      </c>
      <c r="O695" t="s">
        <v>5412</v>
      </c>
      <c r="Q695" t="s">
        <v>5413</v>
      </c>
      <c r="R695" t="s">
        <v>5414</v>
      </c>
      <c r="S695" t="s">
        <v>5415</v>
      </c>
    </row>
    <row r="696" spans="1:19" x14ac:dyDescent="0.25">
      <c r="A696" t="s">
        <v>5416</v>
      </c>
      <c r="B696" t="s">
        <v>5417</v>
      </c>
      <c r="C696">
        <v>2017</v>
      </c>
      <c r="D696">
        <v>4</v>
      </c>
      <c r="F696" t="s">
        <v>5359</v>
      </c>
      <c r="G696" t="s">
        <v>5360</v>
      </c>
      <c r="H696">
        <v>208</v>
      </c>
      <c r="J696" t="s">
        <v>5418</v>
      </c>
      <c r="K696" t="s">
        <v>5419</v>
      </c>
      <c r="M696" t="s">
        <v>4786</v>
      </c>
      <c r="O696" t="s">
        <v>5420</v>
      </c>
      <c r="Q696" t="s">
        <v>5421</v>
      </c>
      <c r="R696" t="s">
        <v>5422</v>
      </c>
      <c r="S696" t="s">
        <v>5423</v>
      </c>
    </row>
    <row r="697" spans="1:19" x14ac:dyDescent="0.25">
      <c r="A697" t="s">
        <v>5424</v>
      </c>
      <c r="B697" t="s">
        <v>5425</v>
      </c>
      <c r="C697">
        <v>2013</v>
      </c>
      <c r="D697">
        <v>7</v>
      </c>
      <c r="F697" t="s">
        <v>3153</v>
      </c>
      <c r="G697" t="s">
        <v>5426</v>
      </c>
      <c r="H697">
        <v>47</v>
      </c>
      <c r="I697">
        <v>3</v>
      </c>
      <c r="J697" t="s">
        <v>5427</v>
      </c>
      <c r="K697" t="s">
        <v>5428</v>
      </c>
      <c r="M697" t="s">
        <v>4786</v>
      </c>
      <c r="O697" t="s">
        <v>5429</v>
      </c>
      <c r="Q697" t="s">
        <v>5430</v>
      </c>
      <c r="R697" t="s">
        <v>5431</v>
      </c>
      <c r="S697" t="s">
        <v>5432</v>
      </c>
    </row>
    <row r="698" spans="1:19" x14ac:dyDescent="0.25">
      <c r="A698" t="s">
        <v>5433</v>
      </c>
      <c r="B698" t="s">
        <v>5434</v>
      </c>
      <c r="C698">
        <v>2018</v>
      </c>
      <c r="D698">
        <v>12</v>
      </c>
      <c r="F698" t="s">
        <v>4885</v>
      </c>
      <c r="G698" t="s">
        <v>4886</v>
      </c>
      <c r="H698">
        <v>32</v>
      </c>
      <c r="I698">
        <v>6</v>
      </c>
      <c r="J698" t="s">
        <v>5435</v>
      </c>
      <c r="K698" t="s">
        <v>5436</v>
      </c>
      <c r="M698" t="s">
        <v>4786</v>
      </c>
      <c r="O698" t="s">
        <v>5437</v>
      </c>
      <c r="Q698" t="s">
        <v>5438</v>
      </c>
      <c r="R698" t="s">
        <v>5439</v>
      </c>
      <c r="S698" t="s">
        <v>5440</v>
      </c>
    </row>
    <row r="699" spans="1:19" x14ac:dyDescent="0.25">
      <c r="A699" t="s">
        <v>5441</v>
      </c>
      <c r="B699" t="s">
        <v>5442</v>
      </c>
      <c r="C699">
        <v>2008</v>
      </c>
      <c r="F699" t="s">
        <v>5443</v>
      </c>
      <c r="G699" t="s">
        <v>5444</v>
      </c>
      <c r="H699">
        <v>74</v>
      </c>
      <c r="I699">
        <v>4</v>
      </c>
      <c r="J699" t="s">
        <v>5445</v>
      </c>
      <c r="K699" t="s">
        <v>5446</v>
      </c>
      <c r="M699" t="s">
        <v>4786</v>
      </c>
      <c r="O699" t="s">
        <v>5447</v>
      </c>
      <c r="Q699" t="s">
        <v>5448</v>
      </c>
      <c r="R699" t="s">
        <v>5449</v>
      </c>
      <c r="S699" t="s">
        <v>5450</v>
      </c>
    </row>
    <row r="700" spans="1:19" x14ac:dyDescent="0.25">
      <c r="A700" t="s">
        <v>5451</v>
      </c>
      <c r="B700" t="s">
        <v>5452</v>
      </c>
      <c r="C700">
        <v>2025</v>
      </c>
      <c r="D700">
        <v>1</v>
      </c>
      <c r="F700" t="s">
        <v>5274</v>
      </c>
      <c r="G700" t="s">
        <v>5275</v>
      </c>
      <c r="H700">
        <v>6</v>
      </c>
      <c r="I700">
        <v>1</v>
      </c>
      <c r="K700" t="s">
        <v>5453</v>
      </c>
      <c r="M700" t="s">
        <v>4786</v>
      </c>
      <c r="O700" t="s">
        <v>5454</v>
      </c>
      <c r="Q700" t="s">
        <v>5455</v>
      </c>
      <c r="R700" t="s">
        <v>5456</v>
      </c>
      <c r="S700" t="s">
        <v>5457</v>
      </c>
    </row>
    <row r="701" spans="1:19" x14ac:dyDescent="0.25">
      <c r="A701" t="s">
        <v>5458</v>
      </c>
      <c r="B701" t="s">
        <v>5459</v>
      </c>
      <c r="C701">
        <v>2023</v>
      </c>
      <c r="D701">
        <v>5</v>
      </c>
      <c r="E701">
        <v>2</v>
      </c>
      <c r="F701" t="s">
        <v>5460</v>
      </c>
      <c r="G701" t="s">
        <v>5461</v>
      </c>
      <c r="H701">
        <v>10</v>
      </c>
      <c r="I701">
        <v>5</v>
      </c>
      <c r="K701" t="s">
        <v>5462</v>
      </c>
      <c r="M701" t="s">
        <v>4786</v>
      </c>
      <c r="O701" t="s">
        <v>5463</v>
      </c>
      <c r="Q701" t="s">
        <v>5464</v>
      </c>
      <c r="R701" t="s">
        <v>5465</v>
      </c>
      <c r="S701" t="s">
        <v>5466</v>
      </c>
    </row>
    <row r="702" spans="1:19" x14ac:dyDescent="0.25">
      <c r="A702" t="s">
        <v>5467</v>
      </c>
      <c r="B702" t="s">
        <v>5468</v>
      </c>
      <c r="C702">
        <v>2016</v>
      </c>
      <c r="D702">
        <v>9</v>
      </c>
      <c r="F702" t="s">
        <v>4924</v>
      </c>
      <c r="G702" t="s">
        <v>4925</v>
      </c>
      <c r="H702">
        <v>26</v>
      </c>
      <c r="I702">
        <v>5</v>
      </c>
      <c r="J702" t="s">
        <v>5469</v>
      </c>
      <c r="K702" t="s">
        <v>5470</v>
      </c>
      <c r="M702" t="s">
        <v>4786</v>
      </c>
      <c r="O702" t="s">
        <v>5471</v>
      </c>
      <c r="Q702" t="s">
        <v>5472</v>
      </c>
      <c r="R702" t="s">
        <v>5473</v>
      </c>
      <c r="S702" t="s">
        <v>5474</v>
      </c>
    </row>
    <row r="703" spans="1:19" x14ac:dyDescent="0.25">
      <c r="A703" t="s">
        <v>5475</v>
      </c>
      <c r="B703" t="s">
        <v>5476</v>
      </c>
      <c r="C703">
        <v>2022</v>
      </c>
      <c r="D703">
        <v>1</v>
      </c>
      <c r="E703">
        <v>2</v>
      </c>
      <c r="F703" t="s">
        <v>5477</v>
      </c>
      <c r="G703" t="s">
        <v>5478</v>
      </c>
      <c r="H703">
        <v>26</v>
      </c>
      <c r="I703">
        <v>1</v>
      </c>
      <c r="J703" t="s">
        <v>5479</v>
      </c>
      <c r="K703" t="s">
        <v>5480</v>
      </c>
      <c r="M703" t="s">
        <v>4786</v>
      </c>
      <c r="O703" t="s">
        <v>5481</v>
      </c>
      <c r="Q703" t="s">
        <v>5482</v>
      </c>
      <c r="R703" t="s">
        <v>5483</v>
      </c>
      <c r="S703" t="s">
        <v>5484</v>
      </c>
    </row>
    <row r="704" spans="1:19" x14ac:dyDescent="0.25">
      <c r="A704" t="s">
        <v>5485</v>
      </c>
      <c r="B704" t="s">
        <v>5486</v>
      </c>
      <c r="C704">
        <v>2023</v>
      </c>
      <c r="D704">
        <v>4</v>
      </c>
      <c r="F704" t="s">
        <v>5487</v>
      </c>
      <c r="G704" t="s">
        <v>5488</v>
      </c>
      <c r="H704">
        <v>5</v>
      </c>
      <c r="I704">
        <v>2</v>
      </c>
      <c r="J704" t="s">
        <v>5489</v>
      </c>
      <c r="K704" t="s">
        <v>5490</v>
      </c>
      <c r="M704" t="s">
        <v>4786</v>
      </c>
      <c r="O704" t="s">
        <v>5491</v>
      </c>
      <c r="Q704" t="s">
        <v>5492</v>
      </c>
      <c r="R704" t="s">
        <v>5493</v>
      </c>
      <c r="S704" t="s">
        <v>5494</v>
      </c>
    </row>
    <row r="705" spans="1:19" x14ac:dyDescent="0.25">
      <c r="A705" t="s">
        <v>5495</v>
      </c>
      <c r="B705" t="s">
        <v>5496</v>
      </c>
      <c r="C705">
        <v>2025</v>
      </c>
      <c r="D705">
        <v>1</v>
      </c>
      <c r="E705">
        <v>22</v>
      </c>
      <c r="F705" t="s">
        <v>5487</v>
      </c>
      <c r="G705" t="s">
        <v>5488</v>
      </c>
      <c r="K705" t="s">
        <v>5497</v>
      </c>
      <c r="M705" t="s">
        <v>4786</v>
      </c>
      <c r="O705" t="s">
        <v>5498</v>
      </c>
      <c r="Q705" t="s">
        <v>5499</v>
      </c>
      <c r="R705" t="s">
        <v>5500</v>
      </c>
      <c r="S705" t="s">
        <v>5501</v>
      </c>
    </row>
    <row r="706" spans="1:19" x14ac:dyDescent="0.25">
      <c r="A706" t="s">
        <v>5502</v>
      </c>
      <c r="B706" t="s">
        <v>5503</v>
      </c>
      <c r="C706">
        <v>2024</v>
      </c>
      <c r="D706">
        <v>2</v>
      </c>
      <c r="E706">
        <v>1</v>
      </c>
      <c r="F706" t="s">
        <v>5504</v>
      </c>
      <c r="G706" t="s">
        <v>5505</v>
      </c>
      <c r="H706">
        <v>7</v>
      </c>
      <c r="I706">
        <v>1</v>
      </c>
      <c r="J706" t="s">
        <v>5506</v>
      </c>
      <c r="K706" t="s">
        <v>5507</v>
      </c>
      <c r="M706" t="s">
        <v>4786</v>
      </c>
      <c r="O706" t="s">
        <v>5508</v>
      </c>
      <c r="Q706" t="s">
        <v>5509</v>
      </c>
      <c r="R706" t="s">
        <v>5510</v>
      </c>
    </row>
    <row r="707" spans="1:19" x14ac:dyDescent="0.25">
      <c r="A707" t="s">
        <v>5511</v>
      </c>
      <c r="B707" t="s">
        <v>5512</v>
      </c>
      <c r="C707">
        <v>2019</v>
      </c>
      <c r="D707">
        <v>2</v>
      </c>
      <c r="F707" t="s">
        <v>5513</v>
      </c>
      <c r="G707" t="s">
        <v>5514</v>
      </c>
      <c r="H707">
        <v>47</v>
      </c>
      <c r="J707" t="s">
        <v>5515</v>
      </c>
      <c r="K707" t="s">
        <v>5516</v>
      </c>
      <c r="M707" t="s">
        <v>4786</v>
      </c>
      <c r="O707" t="s">
        <v>5517</v>
      </c>
      <c r="Q707" t="s">
        <v>5518</v>
      </c>
      <c r="R707" t="s">
        <v>5519</v>
      </c>
      <c r="S707" t="s">
        <v>5520</v>
      </c>
    </row>
    <row r="708" spans="1:19" x14ac:dyDescent="0.25">
      <c r="A708" t="s">
        <v>5521</v>
      </c>
      <c r="B708" t="s">
        <v>5522</v>
      </c>
      <c r="C708">
        <v>2015</v>
      </c>
      <c r="D708">
        <v>9</v>
      </c>
      <c r="F708" t="s">
        <v>5523</v>
      </c>
      <c r="G708" t="s">
        <v>5524</v>
      </c>
      <c r="H708">
        <v>72</v>
      </c>
      <c r="I708">
        <v>8</v>
      </c>
      <c r="J708" t="s">
        <v>5525</v>
      </c>
      <c r="K708" t="s">
        <v>5526</v>
      </c>
      <c r="M708" t="s">
        <v>4786</v>
      </c>
      <c r="O708" t="s">
        <v>5527</v>
      </c>
      <c r="Q708" t="s">
        <v>5528</v>
      </c>
      <c r="R708" t="s">
        <v>5529</v>
      </c>
      <c r="S708" t="s">
        <v>5530</v>
      </c>
    </row>
    <row r="709" spans="1:19" x14ac:dyDescent="0.25">
      <c r="A709" t="s">
        <v>5531</v>
      </c>
      <c r="B709" t="s">
        <v>5532</v>
      </c>
      <c r="C709">
        <v>2017</v>
      </c>
      <c r="F709" t="s">
        <v>5533</v>
      </c>
      <c r="G709" t="s">
        <v>5534</v>
      </c>
      <c r="H709">
        <v>11</v>
      </c>
      <c r="I709">
        <v>3</v>
      </c>
      <c r="J709" t="s">
        <v>5535</v>
      </c>
      <c r="K709" t="s">
        <v>5536</v>
      </c>
      <c r="M709" t="s">
        <v>4786</v>
      </c>
      <c r="O709" t="s">
        <v>5537</v>
      </c>
      <c r="Q709" t="s">
        <v>5538</v>
      </c>
      <c r="R709" t="s">
        <v>5539</v>
      </c>
      <c r="S709" t="s">
        <v>5540</v>
      </c>
    </row>
    <row r="710" spans="1:19" x14ac:dyDescent="0.25">
      <c r="A710" t="s">
        <v>5541</v>
      </c>
      <c r="B710" t="s">
        <v>5542</v>
      </c>
      <c r="C710">
        <v>2021</v>
      </c>
      <c r="D710">
        <v>4</v>
      </c>
      <c r="F710" t="s">
        <v>5274</v>
      </c>
      <c r="G710" t="s">
        <v>5275</v>
      </c>
      <c r="H710">
        <v>2</v>
      </c>
      <c r="I710">
        <v>2</v>
      </c>
      <c r="K710" t="s">
        <v>5543</v>
      </c>
      <c r="M710" t="s">
        <v>4786</v>
      </c>
      <c r="O710" t="s">
        <v>5544</v>
      </c>
      <c r="Q710" t="s">
        <v>5545</v>
      </c>
      <c r="R710" t="s">
        <v>5546</v>
      </c>
      <c r="S710" t="s">
        <v>5547</v>
      </c>
    </row>
    <row r="711" spans="1:19" x14ac:dyDescent="0.25">
      <c r="A711" t="s">
        <v>5548</v>
      </c>
      <c r="B711" t="s">
        <v>5549</v>
      </c>
      <c r="C711">
        <v>2010</v>
      </c>
      <c r="D711">
        <v>6</v>
      </c>
      <c r="F711" t="s">
        <v>5550</v>
      </c>
      <c r="G711" t="s">
        <v>5551</v>
      </c>
      <c r="H711">
        <v>9</v>
      </c>
      <c r="I711">
        <v>2</v>
      </c>
      <c r="J711" t="s">
        <v>5552</v>
      </c>
      <c r="K711" t="s">
        <v>5553</v>
      </c>
      <c r="M711" t="s">
        <v>4786</v>
      </c>
      <c r="O711" t="s">
        <v>5554</v>
      </c>
      <c r="Q711" t="s">
        <v>5555</v>
      </c>
      <c r="R711" t="s">
        <v>5556</v>
      </c>
      <c r="S711" t="s">
        <v>5557</v>
      </c>
    </row>
    <row r="712" spans="1:19" x14ac:dyDescent="0.25">
      <c r="A712" t="s">
        <v>5558</v>
      </c>
      <c r="B712" t="s">
        <v>5559</v>
      </c>
      <c r="C712">
        <v>2018</v>
      </c>
      <c r="D712">
        <v>11</v>
      </c>
      <c r="E712">
        <v>1</v>
      </c>
      <c r="F712" t="s">
        <v>4782</v>
      </c>
      <c r="G712" t="s">
        <v>4858</v>
      </c>
      <c r="H712">
        <v>165</v>
      </c>
      <c r="J712" t="s">
        <v>5560</v>
      </c>
      <c r="K712" t="s">
        <v>5561</v>
      </c>
      <c r="M712" t="s">
        <v>4786</v>
      </c>
      <c r="O712" t="s">
        <v>5562</v>
      </c>
      <c r="Q712" t="s">
        <v>5563</v>
      </c>
      <c r="R712" t="s">
        <v>5564</v>
      </c>
      <c r="S712" t="s">
        <v>5565</v>
      </c>
    </row>
    <row r="713" spans="1:19" x14ac:dyDescent="0.25">
      <c r="A713" t="s">
        <v>5566</v>
      </c>
      <c r="B713" t="s">
        <v>5567</v>
      </c>
      <c r="C713">
        <v>2019</v>
      </c>
      <c r="D713">
        <v>8</v>
      </c>
      <c r="E713">
        <v>6</v>
      </c>
      <c r="F713" t="s">
        <v>4876</v>
      </c>
      <c r="G713" t="s">
        <v>4877</v>
      </c>
      <c r="H713">
        <v>3</v>
      </c>
      <c r="K713" t="s">
        <v>5568</v>
      </c>
      <c r="M713" t="s">
        <v>4786</v>
      </c>
      <c r="O713" t="s">
        <v>5569</v>
      </c>
      <c r="Q713" t="s">
        <v>5570</v>
      </c>
      <c r="R713" t="s">
        <v>5571</v>
      </c>
      <c r="S713" t="s">
        <v>5572</v>
      </c>
    </row>
    <row r="714" spans="1:19" x14ac:dyDescent="0.25">
      <c r="A714" t="s">
        <v>5573</v>
      </c>
      <c r="B714" t="s">
        <v>5574</v>
      </c>
      <c r="C714">
        <v>2023</v>
      </c>
      <c r="D714">
        <v>11</v>
      </c>
      <c r="F714" t="s">
        <v>5026</v>
      </c>
      <c r="G714" t="s">
        <v>5027</v>
      </c>
      <c r="H714">
        <v>134</v>
      </c>
      <c r="K714" t="s">
        <v>5575</v>
      </c>
      <c r="M714" t="s">
        <v>4786</v>
      </c>
      <c r="O714" t="s">
        <v>5576</v>
      </c>
      <c r="Q714" t="s">
        <v>5577</v>
      </c>
      <c r="R714" t="s">
        <v>5578</v>
      </c>
      <c r="S714" t="s">
        <v>5579</v>
      </c>
    </row>
    <row r="715" spans="1:19" x14ac:dyDescent="0.25">
      <c r="A715" t="s">
        <v>5580</v>
      </c>
      <c r="B715" t="s">
        <v>5581</v>
      </c>
      <c r="C715">
        <v>2022</v>
      </c>
      <c r="D715">
        <v>12</v>
      </c>
      <c r="F715" t="s">
        <v>4979</v>
      </c>
      <c r="G715" t="s">
        <v>4980</v>
      </c>
      <c r="H715">
        <v>14</v>
      </c>
      <c r="I715">
        <v>23</v>
      </c>
      <c r="K715" t="s">
        <v>5582</v>
      </c>
      <c r="M715" t="s">
        <v>4786</v>
      </c>
      <c r="O715" t="s">
        <v>5583</v>
      </c>
      <c r="Q715" t="s">
        <v>5584</v>
      </c>
      <c r="R715" t="s">
        <v>5585</v>
      </c>
      <c r="S715" t="s">
        <v>5586</v>
      </c>
    </row>
    <row r="716" spans="1:19" x14ac:dyDescent="0.25">
      <c r="A716" t="s">
        <v>5587</v>
      </c>
      <c r="B716" t="s">
        <v>5588</v>
      </c>
      <c r="C716">
        <v>2022</v>
      </c>
      <c r="D716">
        <v>3</v>
      </c>
      <c r="F716" t="s">
        <v>5300</v>
      </c>
      <c r="G716" t="s">
        <v>5301</v>
      </c>
      <c r="H716">
        <v>59</v>
      </c>
      <c r="I716">
        <v>3</v>
      </c>
      <c r="J716" t="s">
        <v>5589</v>
      </c>
      <c r="K716" t="s">
        <v>5590</v>
      </c>
      <c r="M716" t="s">
        <v>4786</v>
      </c>
      <c r="O716" t="s">
        <v>5591</v>
      </c>
      <c r="Q716" t="s">
        <v>5592</v>
      </c>
      <c r="R716" t="s">
        <v>5593</v>
      </c>
      <c r="S716" t="s">
        <v>5594</v>
      </c>
    </row>
    <row r="717" spans="1:19" x14ac:dyDescent="0.25">
      <c r="A717" t="s">
        <v>5595</v>
      </c>
      <c r="B717" t="s">
        <v>5596</v>
      </c>
      <c r="C717">
        <v>2023</v>
      </c>
      <c r="D717">
        <v>6</v>
      </c>
      <c r="E717">
        <v>9</v>
      </c>
      <c r="F717" t="s">
        <v>4821</v>
      </c>
      <c r="G717" t="s">
        <v>4822</v>
      </c>
      <c r="H717">
        <v>10</v>
      </c>
      <c r="K717" t="s">
        <v>5597</v>
      </c>
      <c r="M717" t="s">
        <v>4786</v>
      </c>
      <c r="O717" t="s">
        <v>5598</v>
      </c>
      <c r="Q717" t="s">
        <v>5599</v>
      </c>
      <c r="R717" t="s">
        <v>5600</v>
      </c>
      <c r="S717" t="s">
        <v>5601</v>
      </c>
    </row>
    <row r="718" spans="1:19" x14ac:dyDescent="0.25">
      <c r="A718" t="s">
        <v>5602</v>
      </c>
      <c r="B718" t="s">
        <v>5603</v>
      </c>
      <c r="C718">
        <v>2011</v>
      </c>
      <c r="D718">
        <v>9</v>
      </c>
      <c r="F718" t="s">
        <v>5513</v>
      </c>
      <c r="G718" t="s">
        <v>5514</v>
      </c>
      <c r="H718">
        <v>19</v>
      </c>
      <c r="I718">
        <v>4</v>
      </c>
      <c r="J718" t="s">
        <v>5604</v>
      </c>
      <c r="K718" t="s">
        <v>5605</v>
      </c>
      <c r="M718" t="s">
        <v>4786</v>
      </c>
      <c r="O718" t="s">
        <v>5606</v>
      </c>
      <c r="Q718" t="s">
        <v>5607</v>
      </c>
      <c r="R718" t="s">
        <v>5608</v>
      </c>
      <c r="S718" t="s">
        <v>5609</v>
      </c>
    </row>
    <row r="719" spans="1:19" x14ac:dyDescent="0.25">
      <c r="A719" t="s">
        <v>5610</v>
      </c>
      <c r="B719" t="s">
        <v>5611</v>
      </c>
      <c r="C719">
        <v>2021</v>
      </c>
      <c r="D719">
        <v>8</v>
      </c>
      <c r="F719" t="s">
        <v>5612</v>
      </c>
      <c r="G719" t="s">
        <v>5613</v>
      </c>
      <c r="H719">
        <v>12</v>
      </c>
      <c r="I719">
        <v>8</v>
      </c>
      <c r="K719" t="s">
        <v>5614</v>
      </c>
      <c r="M719" t="s">
        <v>4786</v>
      </c>
      <c r="O719" t="s">
        <v>5615</v>
      </c>
      <c r="Q719" t="s">
        <v>5616</v>
      </c>
      <c r="R719" t="s">
        <v>5617</v>
      </c>
      <c r="S719" t="s">
        <v>5618</v>
      </c>
    </row>
    <row r="720" spans="1:19" x14ac:dyDescent="0.25">
      <c r="A720" t="s">
        <v>5619</v>
      </c>
      <c r="B720" t="s">
        <v>5620</v>
      </c>
      <c r="C720">
        <v>2014</v>
      </c>
      <c r="F720" t="s">
        <v>5106</v>
      </c>
      <c r="G720" t="s">
        <v>5107</v>
      </c>
      <c r="H720">
        <v>19</v>
      </c>
      <c r="I720">
        <v>2</v>
      </c>
      <c r="K720" t="s">
        <v>5621</v>
      </c>
      <c r="M720" t="s">
        <v>4786</v>
      </c>
      <c r="O720" t="s">
        <v>5622</v>
      </c>
      <c r="Q720" t="s">
        <v>5623</v>
      </c>
      <c r="R720" t="s">
        <v>5624</v>
      </c>
      <c r="S720" t="s">
        <v>5625</v>
      </c>
    </row>
    <row r="721" spans="1:19" x14ac:dyDescent="0.25">
      <c r="A721" t="s">
        <v>5626</v>
      </c>
      <c r="B721" t="s">
        <v>5627</v>
      </c>
      <c r="C721">
        <v>2022</v>
      </c>
      <c r="D721">
        <v>5</v>
      </c>
      <c r="F721" t="s">
        <v>4934</v>
      </c>
      <c r="G721" t="s">
        <v>4935</v>
      </c>
      <c r="H721">
        <v>4</v>
      </c>
      <c r="I721">
        <v>5</v>
      </c>
      <c r="K721" t="s">
        <v>5628</v>
      </c>
      <c r="M721" t="s">
        <v>4786</v>
      </c>
      <c r="O721" t="s">
        <v>5629</v>
      </c>
      <c r="Q721" t="s">
        <v>5630</v>
      </c>
      <c r="R721" t="s">
        <v>5631</v>
      </c>
      <c r="S721" t="s">
        <v>5632</v>
      </c>
    </row>
    <row r="722" spans="1:19" x14ac:dyDescent="0.25">
      <c r="A722" t="s">
        <v>5633</v>
      </c>
      <c r="B722" t="s">
        <v>5634</v>
      </c>
      <c r="C722">
        <v>2020</v>
      </c>
      <c r="D722">
        <v>2</v>
      </c>
      <c r="F722" t="s">
        <v>5635</v>
      </c>
      <c r="G722" t="s">
        <v>5636</v>
      </c>
      <c r="H722">
        <v>23</v>
      </c>
      <c r="I722">
        <v>1</v>
      </c>
      <c r="J722" s="2">
        <v>42917</v>
      </c>
      <c r="K722" t="s">
        <v>5637</v>
      </c>
      <c r="M722" t="s">
        <v>4786</v>
      </c>
      <c r="O722" t="s">
        <v>5638</v>
      </c>
      <c r="Q722" t="s">
        <v>5639</v>
      </c>
      <c r="R722" t="s">
        <v>5640</v>
      </c>
      <c r="S722" t="s">
        <v>5641</v>
      </c>
    </row>
    <row r="723" spans="1:19" x14ac:dyDescent="0.25">
      <c r="A723" t="s">
        <v>5642</v>
      </c>
      <c r="B723" t="s">
        <v>5643</v>
      </c>
      <c r="C723">
        <v>2021</v>
      </c>
      <c r="D723">
        <v>4</v>
      </c>
      <c r="E723">
        <v>8</v>
      </c>
      <c r="F723" t="s">
        <v>5644</v>
      </c>
      <c r="G723" t="s">
        <v>5645</v>
      </c>
      <c r="H723">
        <v>2</v>
      </c>
      <c r="K723" t="s">
        <v>5646</v>
      </c>
      <c r="M723" t="s">
        <v>4786</v>
      </c>
      <c r="O723" t="s">
        <v>5647</v>
      </c>
      <c r="Q723" t="s">
        <v>5648</v>
      </c>
      <c r="R723" t="s">
        <v>5649</v>
      </c>
      <c r="S723" t="s">
        <v>5650</v>
      </c>
    </row>
    <row r="724" spans="1:19" x14ac:dyDescent="0.25">
      <c r="A724" t="s">
        <v>5651</v>
      </c>
      <c r="B724" t="s">
        <v>5652</v>
      </c>
      <c r="C724">
        <v>2014</v>
      </c>
      <c r="D724">
        <v>8</v>
      </c>
      <c r="F724" t="s">
        <v>5653</v>
      </c>
      <c r="G724" t="s">
        <v>5654</v>
      </c>
      <c r="H724">
        <v>15</v>
      </c>
      <c r="I724">
        <v>5</v>
      </c>
      <c r="J724" t="s">
        <v>5655</v>
      </c>
      <c r="K724" t="s">
        <v>5656</v>
      </c>
      <c r="M724" t="s">
        <v>4786</v>
      </c>
      <c r="O724" t="s">
        <v>5657</v>
      </c>
      <c r="Q724" t="s">
        <v>5658</v>
      </c>
      <c r="R724" t="s">
        <v>5659</v>
      </c>
      <c r="S724" t="s">
        <v>5660</v>
      </c>
    </row>
    <row r="725" spans="1:19" x14ac:dyDescent="0.25">
      <c r="A725" t="s">
        <v>5661</v>
      </c>
      <c r="B725" t="s">
        <v>5662</v>
      </c>
      <c r="C725">
        <v>2017</v>
      </c>
      <c r="D725">
        <v>9</v>
      </c>
      <c r="F725" t="s">
        <v>5384</v>
      </c>
      <c r="G725" t="s">
        <v>5385</v>
      </c>
      <c r="H725">
        <v>10</v>
      </c>
      <c r="I725">
        <v>5</v>
      </c>
      <c r="J725" t="s">
        <v>5663</v>
      </c>
      <c r="K725" t="s">
        <v>5664</v>
      </c>
      <c r="M725" t="s">
        <v>4786</v>
      </c>
      <c r="O725" t="s">
        <v>5665</v>
      </c>
      <c r="Q725" t="s">
        <v>5666</v>
      </c>
      <c r="R725" t="s">
        <v>5667</v>
      </c>
      <c r="S725" t="s">
        <v>5668</v>
      </c>
    </row>
    <row r="726" spans="1:19" x14ac:dyDescent="0.25">
      <c r="A726" t="s">
        <v>5669</v>
      </c>
      <c r="B726" t="s">
        <v>5670</v>
      </c>
      <c r="C726">
        <v>2010</v>
      </c>
      <c r="D726">
        <v>6</v>
      </c>
      <c r="F726" t="s">
        <v>5006</v>
      </c>
      <c r="G726" t="s">
        <v>5007</v>
      </c>
      <c r="H726">
        <v>91</v>
      </c>
      <c r="I726">
        <v>6</v>
      </c>
      <c r="J726" t="s">
        <v>5671</v>
      </c>
      <c r="K726" t="s">
        <v>5672</v>
      </c>
      <c r="M726" t="s">
        <v>4786</v>
      </c>
      <c r="O726" t="s">
        <v>5673</v>
      </c>
      <c r="Q726" t="s">
        <v>5674</v>
      </c>
      <c r="R726" t="s">
        <v>5675</v>
      </c>
      <c r="S726" t="s">
        <v>5676</v>
      </c>
    </row>
    <row r="727" spans="1:19" x14ac:dyDescent="0.25">
      <c r="A727" t="s">
        <v>5677</v>
      </c>
      <c r="B727" t="s">
        <v>5678</v>
      </c>
      <c r="C727">
        <v>2022</v>
      </c>
      <c r="D727">
        <v>10</v>
      </c>
      <c r="F727" t="s">
        <v>4943</v>
      </c>
      <c r="G727" t="s">
        <v>4944</v>
      </c>
      <c r="H727">
        <v>136</v>
      </c>
      <c r="J727" t="s">
        <v>5679</v>
      </c>
      <c r="K727" t="s">
        <v>5680</v>
      </c>
      <c r="M727" t="s">
        <v>4786</v>
      </c>
      <c r="O727" t="s">
        <v>5681</v>
      </c>
      <c r="Q727" t="s">
        <v>5682</v>
      </c>
      <c r="R727" t="s">
        <v>5683</v>
      </c>
      <c r="S727" t="s">
        <v>5684</v>
      </c>
    </row>
    <row r="728" spans="1:19" x14ac:dyDescent="0.25">
      <c r="A728" t="s">
        <v>5685</v>
      </c>
      <c r="B728" t="s">
        <v>5686</v>
      </c>
      <c r="C728">
        <v>2016</v>
      </c>
      <c r="D728">
        <v>1</v>
      </c>
      <c r="F728" t="s">
        <v>5687</v>
      </c>
      <c r="G728" t="s">
        <v>5688</v>
      </c>
      <c r="H728">
        <v>36</v>
      </c>
      <c r="I728">
        <v>1</v>
      </c>
      <c r="J728" t="s">
        <v>5689</v>
      </c>
      <c r="K728" t="s">
        <v>5690</v>
      </c>
      <c r="M728" t="s">
        <v>4786</v>
      </c>
      <c r="O728" t="s">
        <v>5691</v>
      </c>
      <c r="Q728" t="s">
        <v>5692</v>
      </c>
      <c r="R728" t="s">
        <v>5693</v>
      </c>
      <c r="S728" t="s">
        <v>5694</v>
      </c>
    </row>
    <row r="729" spans="1:19" x14ac:dyDescent="0.25">
      <c r="A729" t="s">
        <v>5695</v>
      </c>
      <c r="B729" t="s">
        <v>5696</v>
      </c>
      <c r="C729">
        <v>2025</v>
      </c>
      <c r="D729">
        <v>1</v>
      </c>
      <c r="F729" t="s">
        <v>5247</v>
      </c>
      <c r="G729" t="s">
        <v>5248</v>
      </c>
      <c r="H729">
        <v>20</v>
      </c>
      <c r="I729">
        <v>1</v>
      </c>
      <c r="J729" t="s">
        <v>5697</v>
      </c>
      <c r="K729" t="s">
        <v>5698</v>
      </c>
      <c r="M729" t="s">
        <v>4786</v>
      </c>
      <c r="O729" t="s">
        <v>5699</v>
      </c>
      <c r="Q729" t="s">
        <v>5700</v>
      </c>
      <c r="R729" t="s">
        <v>5701</v>
      </c>
      <c r="S729" t="s">
        <v>5702</v>
      </c>
    </row>
    <row r="730" spans="1:19" x14ac:dyDescent="0.25">
      <c r="A730" t="s">
        <v>5703</v>
      </c>
      <c r="B730" t="s">
        <v>5704</v>
      </c>
      <c r="C730">
        <v>2021</v>
      </c>
      <c r="D730">
        <v>5</v>
      </c>
      <c r="E730">
        <v>15</v>
      </c>
      <c r="F730" t="s">
        <v>5006</v>
      </c>
      <c r="G730" t="s">
        <v>5007</v>
      </c>
      <c r="H730">
        <v>286</v>
      </c>
      <c r="K730" t="s">
        <v>5705</v>
      </c>
      <c r="M730" t="s">
        <v>4786</v>
      </c>
      <c r="O730" t="s">
        <v>5706</v>
      </c>
      <c r="Q730" t="s">
        <v>5707</v>
      </c>
      <c r="R730" t="s">
        <v>5708</v>
      </c>
      <c r="S730" t="s">
        <v>5709</v>
      </c>
    </row>
    <row r="731" spans="1:19" x14ac:dyDescent="0.25">
      <c r="A731" t="s">
        <v>5710</v>
      </c>
      <c r="B731" t="s">
        <v>5711</v>
      </c>
      <c r="C731">
        <v>2021</v>
      </c>
      <c r="D731">
        <v>7</v>
      </c>
      <c r="E731">
        <v>22</v>
      </c>
      <c r="F731" t="s">
        <v>5712</v>
      </c>
      <c r="G731" t="s">
        <v>5713</v>
      </c>
      <c r="H731">
        <v>16</v>
      </c>
      <c r="I731">
        <v>7</v>
      </c>
      <c r="K731" t="s">
        <v>5714</v>
      </c>
      <c r="M731" t="s">
        <v>4786</v>
      </c>
      <c r="O731" t="s">
        <v>5715</v>
      </c>
      <c r="Q731" t="s">
        <v>5716</v>
      </c>
      <c r="R731" t="s">
        <v>5717</v>
      </c>
      <c r="S731" t="s">
        <v>5718</v>
      </c>
    </row>
    <row r="732" spans="1:19" x14ac:dyDescent="0.25">
      <c r="A732" t="s">
        <v>5719</v>
      </c>
      <c r="B732" t="s">
        <v>5720</v>
      </c>
      <c r="C732">
        <v>2013</v>
      </c>
      <c r="F732" t="s">
        <v>5721</v>
      </c>
      <c r="G732" t="s">
        <v>5722</v>
      </c>
      <c r="H732">
        <v>14</v>
      </c>
      <c r="I732">
        <v>2</v>
      </c>
      <c r="J732" t="s">
        <v>5723</v>
      </c>
      <c r="K732" t="s">
        <v>5724</v>
      </c>
      <c r="M732" t="s">
        <v>4786</v>
      </c>
      <c r="O732" t="s">
        <v>5725</v>
      </c>
      <c r="Q732" t="s">
        <v>5726</v>
      </c>
      <c r="S732" t="s">
        <v>5727</v>
      </c>
    </row>
    <row r="733" spans="1:19" x14ac:dyDescent="0.25">
      <c r="A733" t="s">
        <v>5728</v>
      </c>
      <c r="B733" t="s">
        <v>5729</v>
      </c>
      <c r="C733">
        <v>2020</v>
      </c>
      <c r="D733">
        <v>4</v>
      </c>
      <c r="F733" t="s">
        <v>5730</v>
      </c>
      <c r="G733" t="s">
        <v>5731</v>
      </c>
      <c r="H733">
        <v>50</v>
      </c>
      <c r="I733">
        <v>2</v>
      </c>
      <c r="J733" t="s">
        <v>5732</v>
      </c>
      <c r="K733" t="s">
        <v>5733</v>
      </c>
      <c r="M733" t="s">
        <v>4786</v>
      </c>
      <c r="O733" t="s">
        <v>5734</v>
      </c>
      <c r="Q733" t="s">
        <v>5735</v>
      </c>
      <c r="R733" t="s">
        <v>5736</v>
      </c>
      <c r="S733" t="s">
        <v>5737</v>
      </c>
    </row>
    <row r="734" spans="1:19" x14ac:dyDescent="0.25">
      <c r="A734" t="s">
        <v>5738</v>
      </c>
      <c r="B734" t="s">
        <v>5739</v>
      </c>
      <c r="C734">
        <v>2024</v>
      </c>
      <c r="D734">
        <v>3</v>
      </c>
      <c r="F734" t="s">
        <v>4943</v>
      </c>
      <c r="G734" t="s">
        <v>4944</v>
      </c>
      <c r="H734">
        <v>153</v>
      </c>
      <c r="K734" t="s">
        <v>5740</v>
      </c>
      <c r="M734" t="s">
        <v>4786</v>
      </c>
      <c r="O734" t="s">
        <v>5741</v>
      </c>
      <c r="Q734" t="s">
        <v>5742</v>
      </c>
      <c r="R734" t="s">
        <v>5743</v>
      </c>
      <c r="S734" t="s">
        <v>5744</v>
      </c>
    </row>
    <row r="735" spans="1:19" x14ac:dyDescent="0.25">
      <c r="A735" t="s">
        <v>5745</v>
      </c>
      <c r="B735" t="s">
        <v>5746</v>
      </c>
      <c r="C735">
        <v>2022</v>
      </c>
      <c r="D735">
        <v>11</v>
      </c>
      <c r="E735">
        <v>1</v>
      </c>
      <c r="F735" t="s">
        <v>5006</v>
      </c>
      <c r="G735" t="s">
        <v>5007</v>
      </c>
      <c r="H735">
        <v>321</v>
      </c>
      <c r="K735" t="s">
        <v>5747</v>
      </c>
      <c r="M735" t="s">
        <v>4786</v>
      </c>
      <c r="O735" t="s">
        <v>5748</v>
      </c>
      <c r="Q735" t="s">
        <v>5749</v>
      </c>
      <c r="R735" t="s">
        <v>5750</v>
      </c>
      <c r="S735" t="s">
        <v>5751</v>
      </c>
    </row>
    <row r="736" spans="1:19" x14ac:dyDescent="0.25">
      <c r="A736" t="s">
        <v>5752</v>
      </c>
      <c r="B736" t="s">
        <v>5753</v>
      </c>
      <c r="C736">
        <v>2023</v>
      </c>
      <c r="D736">
        <v>6</v>
      </c>
      <c r="F736" t="s">
        <v>5754</v>
      </c>
      <c r="G736" t="s">
        <v>5755</v>
      </c>
      <c r="H736">
        <v>31</v>
      </c>
      <c r="I736">
        <v>3</v>
      </c>
      <c r="J736" t="s">
        <v>5756</v>
      </c>
      <c r="K736" t="s">
        <v>5757</v>
      </c>
      <c r="M736" t="s">
        <v>4786</v>
      </c>
      <c r="O736" t="s">
        <v>5758</v>
      </c>
      <c r="Q736" t="s">
        <v>5759</v>
      </c>
      <c r="R736" t="s">
        <v>5760</v>
      </c>
      <c r="S736" t="s">
        <v>5761</v>
      </c>
    </row>
    <row r="737" spans="1:19" x14ac:dyDescent="0.25">
      <c r="A737" t="s">
        <v>5762</v>
      </c>
      <c r="B737" t="s">
        <v>5763</v>
      </c>
      <c r="C737">
        <v>2013</v>
      </c>
      <c r="F737" t="s">
        <v>5764</v>
      </c>
      <c r="G737" t="s">
        <v>5765</v>
      </c>
      <c r="H737">
        <v>40</v>
      </c>
      <c r="I737">
        <v>2</v>
      </c>
      <c r="J737" t="s">
        <v>5766</v>
      </c>
      <c r="K737" t="s">
        <v>5767</v>
      </c>
      <c r="M737" t="s">
        <v>4786</v>
      </c>
      <c r="Q737" t="s">
        <v>5768</v>
      </c>
      <c r="S737" t="s">
        <v>5769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2ADB-1E90-48CD-9C23-ACDE6344B7DD}">
  <dimension ref="A1:I170"/>
  <sheetViews>
    <sheetView tabSelected="1" workbookViewId="0">
      <selection activeCell="I18" sqref="I18"/>
    </sheetView>
  </sheetViews>
  <sheetFormatPr defaultRowHeight="15" x14ac:dyDescent="0.25"/>
  <cols>
    <col min="1" max="1" width="16.7109375" bestFit="1" customWidth="1"/>
    <col min="2" max="2" width="30.85546875" bestFit="1" customWidth="1"/>
    <col min="3" max="3" width="5" bestFit="1" customWidth="1"/>
    <col min="4" max="4" width="65.85546875" bestFit="1" customWidth="1"/>
    <col min="5" max="5" width="29.28515625" bestFit="1" customWidth="1"/>
    <col min="6" max="6" width="7.42578125" bestFit="1" customWidth="1"/>
    <col min="7" max="7" width="5.7109375" bestFit="1" customWidth="1"/>
    <col min="8" max="8" width="9.7109375" bestFit="1" customWidth="1"/>
    <col min="9" max="9" width="18.85546875" bestFit="1" customWidth="1"/>
  </cols>
  <sheetData>
    <row r="1" spans="1:9" x14ac:dyDescent="0.25">
      <c r="A1" t="s">
        <v>5770</v>
      </c>
      <c r="B1" t="s">
        <v>10</v>
      </c>
      <c r="C1" t="s">
        <v>2</v>
      </c>
      <c r="D1" t="s">
        <v>1</v>
      </c>
      <c r="E1" t="s">
        <v>5</v>
      </c>
      <c r="F1" t="s">
        <v>7</v>
      </c>
      <c r="G1" t="s">
        <v>8</v>
      </c>
      <c r="H1" t="s">
        <v>9</v>
      </c>
      <c r="I1" t="s">
        <v>17</v>
      </c>
    </row>
    <row r="2" spans="1:9" x14ac:dyDescent="0.25">
      <c r="A2" t="s">
        <v>1128</v>
      </c>
      <c r="B2" t="str">
        <f>VLOOKUP($A2,articles_2026_01_26!$A$2:$U$737,11,FALSE)</f>
        <v>Barrett Kyle and Rodriguez Shari L</v>
      </c>
      <c r="C2">
        <f>VLOOKUP($A2,articles_2026_01_26!$A$2:$U$737,3,FALSE)</f>
        <v>2021</v>
      </c>
      <c r="D2" t="str">
        <f>VLOOKUP($A2,articles_2026_01_26!$A$2:$U$737,2,FALSE)</f>
        <v>What Sources Are Natural Resource Managers Using to Make Decisions?</v>
      </c>
      <c r="E2" t="str">
        <f>VLOOKUP($A2,articles_2026_01_26!$A$2:$U$737,6,FALSE)</f>
        <v>Journal of Wildlife Management</v>
      </c>
      <c r="F2">
        <f>VLOOKUP($A2,articles_2026_01_26!$A$2:$U$737,8,FALSE)</f>
        <v>85</v>
      </c>
      <c r="G2">
        <f>VLOOKUP($A2,articles_2026_01_26!$A$2:$U$737,9,FALSE)</f>
        <v>8</v>
      </c>
      <c r="H2" t="str">
        <f>VLOOKUP($A2,articles_2026_01_26!$A$2:$U$737,10,FALSE)</f>
        <v>1543-1553</v>
      </c>
      <c r="I2" t="str">
        <f>VLOOKUP($A2,articles_2026_01_26!$A$2:$U$737,18,FALSE)</f>
        <v>10.1002/jwmg.22112</v>
      </c>
    </row>
    <row r="3" spans="1:9" x14ac:dyDescent="0.25">
      <c r="A3" t="s">
        <v>48</v>
      </c>
      <c r="B3" t="str">
        <f>VLOOKUP($A3,articles_2026_01_26!$A$2:$U$737,11,FALSE)</f>
        <v>Weiskopf S R and Harmackova Z V and Johnson C G and Londono-Murcia M C and Miller B W and Myers B J. E and Pereira L and Arce-Plata M I and Blanchard J L and Ferrier S and Fulton E A and Harfoot M and Isbell F and Johnson J A and Mori A S and Weng E S and Rosa I M. D</v>
      </c>
      <c r="C3">
        <f>VLOOKUP($A3,articles_2026_01_26!$A$2:$U$737,3,FALSE)</f>
        <v>2022</v>
      </c>
      <c r="D3" t="str">
        <f>VLOOKUP($A3,articles_2026_01_26!$A$2:$U$737,2,FALSE)</f>
        <v>Increasing the uptake of ecological model results in policy decisions to improve biodiversity outcomes</v>
      </c>
      <c r="E3" t="str">
        <f>VLOOKUP($A3,articles_2026_01_26!$A$2:$U$737,6,FALSE)</f>
        <v>Environmental Modelling &amp; Software</v>
      </c>
      <c r="F3">
        <f>VLOOKUP($A3,articles_2026_01_26!$A$2:$U$737,8,FALSE)</f>
        <v>149</v>
      </c>
      <c r="G3">
        <f>VLOOKUP($A3,articles_2026_01_26!$A$2:$U$737,9,FALSE)</f>
        <v>0</v>
      </c>
      <c r="H3">
        <f>VLOOKUP($A3,articles_2026_01_26!$A$2:$U$737,10,FALSE)</f>
        <v>0</v>
      </c>
      <c r="I3" t="str">
        <f>VLOOKUP($A3,articles_2026_01_26!$A$2:$U$737,18,FALSE)</f>
        <v>10.1016/j.envsoft.2022.105318</v>
      </c>
    </row>
    <row r="4" spans="1:9" x14ac:dyDescent="0.25">
      <c r="A4" t="s">
        <v>89</v>
      </c>
      <c r="B4" t="str">
        <f>VLOOKUP($A4,articles_2026_01_26!$A$2:$U$737,11,FALSE)</f>
        <v>Toomey Anne H and Alvaro MarÃ­a Eugenia Copa and Aiello-Lammens Matthew and Loayza Cossio and Oscar and Barlow Jos</v>
      </c>
      <c r="C4">
        <f>VLOOKUP($A4,articles_2026_01_26!$A$2:$U$737,3,FALSE)</f>
        <v>2019</v>
      </c>
      <c r="D4" t="str">
        <f>VLOOKUP($A4,articles_2026_01_26!$A$2:$U$737,2,FALSE)</f>
        <v>A question of dissemination: Assessing the practices and implications of research in tropical landscapes</v>
      </c>
      <c r="E4" t="str">
        <f>VLOOKUP($A4,articles_2026_01_26!$A$2:$U$737,6,FALSE)</f>
        <v>AMBIO - A Journal of the Human Environment</v>
      </c>
      <c r="F4">
        <f>VLOOKUP($A4,articles_2026_01_26!$A$2:$U$737,8,FALSE)</f>
        <v>48</v>
      </c>
      <c r="G4">
        <f>VLOOKUP($A4,articles_2026_01_26!$A$2:$U$737,9,FALSE)</f>
        <v>1</v>
      </c>
      <c r="H4" t="str">
        <f>VLOOKUP($A4,articles_2026_01_26!$A$2:$U$737,10,FALSE)</f>
        <v>35-47</v>
      </c>
      <c r="I4" t="str">
        <f>VLOOKUP($A4,articles_2026_01_26!$A$2:$U$737,18,FALSE)</f>
        <v>10.1007/s13280-018-1056-5</v>
      </c>
    </row>
    <row r="5" spans="1:9" x14ac:dyDescent="0.25">
      <c r="A5" t="s">
        <v>98</v>
      </c>
      <c r="B5" t="str">
        <f>VLOOKUP($A5,articles_2026_01_26!$A$2:$U$737,11,FALSE)</f>
        <v>Taylor C and Cockburn J and Rouget M and Ray-Mukherjee J and Mukherjee S and Slotow R and Roberts D and Boon R and O'Donoghue S and Douwes E</v>
      </c>
      <c r="C5">
        <f>VLOOKUP($A5,articles_2026_01_26!$A$2:$U$737,3,FALSE)</f>
        <v>2016</v>
      </c>
      <c r="D5" t="str">
        <f>VLOOKUP($A5,articles_2026_01_26!$A$2:$U$737,2,FALSE)</f>
        <v>lEvaluating the outcomes and processes of a research-action partnership: The need for continuous reflective evaluation</v>
      </c>
      <c r="E5" t="str">
        <f>VLOOKUP($A5,articles_2026_01_26!$A$2:$U$737,6,FALSE)</f>
        <v>Bothalia</v>
      </c>
      <c r="F5">
        <f>VLOOKUP($A5,articles_2026_01_26!$A$2:$U$737,8,FALSE)</f>
        <v>46</v>
      </c>
      <c r="G5">
        <f>VLOOKUP($A5,articles_2026_01_26!$A$2:$U$737,9,FALSE)</f>
        <v>2</v>
      </c>
      <c r="H5">
        <f>VLOOKUP($A5,articles_2026_01_26!$A$2:$U$737,10,FALSE)</f>
        <v>0</v>
      </c>
      <c r="I5" t="str">
        <f>VLOOKUP($A5,articles_2026_01_26!$A$2:$U$737,18,FALSE)</f>
        <v>10.4102/abc.v46i2.2154</v>
      </c>
    </row>
    <row r="6" spans="1:9" x14ac:dyDescent="0.25">
      <c r="A6" t="s">
        <v>106</v>
      </c>
      <c r="B6" t="str">
        <f>VLOOKUP($A6,articles_2026_01_26!$A$2:$U$737,11,FALSE)</f>
        <v>Taft Heather R and McCoskey Dana N and Miller Joshua M and Pearson Sarah K and Coleman Melinda A and Fletcher Nicholas K and Mittan Cinnamon S and Meek Mariah H and Barbosa Soraia</v>
      </c>
      <c r="C6">
        <f>VLOOKUP($A6,articles_2026_01_26!$A$2:$U$737,3,FALSE)</f>
        <v>2020</v>
      </c>
      <c r="D6" t="str">
        <f>VLOOKUP($A6,articles_2026_01_26!$A$2:$U$737,2,FALSE)</f>
        <v>Researchâ€“management partnerships: An opportunity to integrate genetics in conservation actions</v>
      </c>
      <c r="E6" t="str">
        <f>VLOOKUP($A6,articles_2026_01_26!$A$2:$U$737,6,FALSE)</f>
        <v>Conservation Science &amp; Practice</v>
      </c>
      <c r="F6">
        <f>VLOOKUP($A6,articles_2026_01_26!$A$2:$U$737,8,FALSE)</f>
        <v>2</v>
      </c>
      <c r="G6">
        <f>VLOOKUP($A6,articles_2026_01_26!$A$2:$U$737,9,FALSE)</f>
        <v>9</v>
      </c>
      <c r="H6">
        <f>VLOOKUP($A6,articles_2026_01_26!$A$2:$U$737,10,FALSE)</f>
        <v>46235</v>
      </c>
      <c r="I6" t="str">
        <f>VLOOKUP($A6,articles_2026_01_26!$A$2:$U$737,18,FALSE)</f>
        <v>10.1111/csp2.218</v>
      </c>
    </row>
    <row r="7" spans="1:9" x14ac:dyDescent="0.25">
      <c r="A7" t="s">
        <v>114</v>
      </c>
      <c r="B7" t="str">
        <f>VLOOKUP($A7,articles_2026_01_26!$A$2:$U$737,11,FALSE)</f>
        <v>Suskevics M and Raadom T and Vanem B and Kana S and Roasto R and Runnel V and Kulvik M</v>
      </c>
      <c r="C7">
        <f>VLOOKUP($A7,articles_2026_01_26!$A$2:$U$737,3,FALSE)</f>
        <v>2021</v>
      </c>
      <c r="D7" t="str">
        <f>VLOOKUP($A7,articles_2026_01_26!$A$2:$U$737,2,FALSE)</f>
        <v>Challenges and opportunities of engaging biodiversity-related citizen science data in environmental decision-making: Practitioners' perceptions and a database analysis from Estonia</v>
      </c>
      <c r="E7" t="str">
        <f>VLOOKUP($A7,articles_2026_01_26!$A$2:$U$737,6,FALSE)</f>
        <v>Journal for Nature Conservation</v>
      </c>
      <c r="F7">
        <f>VLOOKUP($A7,articles_2026_01_26!$A$2:$U$737,8,FALSE)</f>
        <v>64</v>
      </c>
      <c r="G7">
        <f>VLOOKUP($A7,articles_2026_01_26!$A$2:$U$737,9,FALSE)</f>
        <v>0</v>
      </c>
      <c r="H7">
        <f>VLOOKUP($A7,articles_2026_01_26!$A$2:$U$737,10,FALSE)</f>
        <v>0</v>
      </c>
      <c r="I7" t="str">
        <f>VLOOKUP($A7,articles_2026_01_26!$A$2:$U$737,18,FALSE)</f>
        <v>10.1016/j.jnc.2021.126068</v>
      </c>
    </row>
    <row r="8" spans="1:9" x14ac:dyDescent="0.25">
      <c r="A8" t="s">
        <v>129</v>
      </c>
      <c r="B8" t="str">
        <f>VLOOKUP($A8,articles_2026_01_26!$A$2:$U$737,11,FALSE)</f>
        <v>Stephenson P J and Bowles-Newark Nadine and Regan Eugenie and Stanwell-Smith Damon and Diagana MallÃ© and HÃ¶ft Robert and Abarchi Harouna and Abrahamse Tanya and Akello Christine and Allison Hilary and Banki Olaf and Batieno Barthelemy and Dieme Samuel and Domingos Arthur and Galt Russell and Githaiga Cicilia W and Guindo Abdoulaye Bine and Hafashimana David L N and Hirsch Tim and Hobern Donald</v>
      </c>
      <c r="C8">
        <f>VLOOKUP($A8,articles_2026_01_26!$A$2:$U$737,3,FALSE)</f>
        <v>2017</v>
      </c>
      <c r="D8" t="str">
        <f>VLOOKUP($A8,articles_2026_01_26!$A$2:$U$737,2,FALSE)</f>
        <v>Unblocking the flow of biodiversity data for decision-making in Africa</v>
      </c>
      <c r="E8" t="str">
        <f>VLOOKUP($A8,articles_2026_01_26!$A$2:$U$737,6,FALSE)</f>
        <v>Biological Conservation</v>
      </c>
      <c r="F8">
        <f>VLOOKUP($A8,articles_2026_01_26!$A$2:$U$737,8,FALSE)</f>
        <v>213</v>
      </c>
      <c r="G8">
        <f>VLOOKUP($A8,articles_2026_01_26!$A$2:$U$737,9,FALSE)</f>
        <v>0</v>
      </c>
      <c r="H8" t="str">
        <f>VLOOKUP($A8,articles_2026_01_26!$A$2:$U$737,10,FALSE)</f>
        <v>335-340</v>
      </c>
      <c r="I8" t="str">
        <f>VLOOKUP($A8,articles_2026_01_26!$A$2:$U$737,18,FALSE)</f>
        <v>10.1016/j.biocon.2016.09.003</v>
      </c>
    </row>
    <row r="9" spans="1:9" x14ac:dyDescent="0.25">
      <c r="A9" t="s">
        <v>138</v>
      </c>
      <c r="B9" t="str">
        <f>VLOOKUP($A9,articles_2026_01_26!$A$2:$U$737,11,FALSE)</f>
        <v>Sitas N and Harmackova Z V and Anticamara J A and Arneth A and Badola R and Biggs R and Blanchard R and Brotons L and Cantele M and Coetzer K and DasGupta R and den Belder E and Ghosh S and Guisan A and Gundimeda H and Hamann M and Harrison P A and Hashimoto S and Hauck J and Klatt B J and Kok K and Krug R M and Niamir A and O'Farrell P J and Okayasu S and Palomo I and Pereira L M and Riordan P and Santos-Martin F and Selomane O and Shin Y J and Valle M</v>
      </c>
      <c r="C9">
        <f>VLOOKUP($A9,articles_2026_01_26!$A$2:$U$737,3,FALSE)</f>
        <v>2019</v>
      </c>
      <c r="D9" t="str">
        <f>VLOOKUP($A9,articles_2026_01_26!$A$2:$U$737,2,FALSE)</f>
        <v>Exploring the usefulness of scenario archetypes in science-policy processes: experience across IPBES assessments</v>
      </c>
      <c r="E9" t="str">
        <f>VLOOKUP($A9,articles_2026_01_26!$A$2:$U$737,6,FALSE)</f>
        <v>Ecology and Society</v>
      </c>
      <c r="F9">
        <f>VLOOKUP($A9,articles_2026_01_26!$A$2:$U$737,8,FALSE)</f>
        <v>24</v>
      </c>
      <c r="G9">
        <f>VLOOKUP($A9,articles_2026_01_26!$A$2:$U$737,9,FALSE)</f>
        <v>3</v>
      </c>
      <c r="H9">
        <f>VLOOKUP($A9,articles_2026_01_26!$A$2:$U$737,10,FALSE)</f>
        <v>0</v>
      </c>
      <c r="I9" t="str">
        <f>VLOOKUP($A9,articles_2026_01_26!$A$2:$U$737,18,FALSE)</f>
        <v>10.5751/es-11039-240335</v>
      </c>
    </row>
    <row r="10" spans="1:9" x14ac:dyDescent="0.25">
      <c r="A10" t="s">
        <v>146</v>
      </c>
      <c r="B10" t="str">
        <f>VLOOKUP($A10,articles_2026_01_26!$A$2:$U$737,11,FALSE)</f>
        <v>Shiffman D S and Macdonald C C and Wallace S S and Dulvy N K</v>
      </c>
      <c r="C10">
        <f>VLOOKUP($A10,articles_2026_01_26!$A$2:$U$737,3,FALSE)</f>
        <v>2021</v>
      </c>
      <c r="D10" t="str">
        <f>VLOOKUP($A10,articles_2026_01_26!$A$2:$U$737,2,FALSE)</f>
        <v>The role and value of science in shark conservation advocacy</v>
      </c>
      <c r="E10" t="str">
        <f>VLOOKUP($A10,articles_2026_01_26!$A$2:$U$737,6,FALSE)</f>
        <v>Scientific Reports</v>
      </c>
      <c r="F10">
        <f>VLOOKUP($A10,articles_2026_01_26!$A$2:$U$737,8,FALSE)</f>
        <v>11</v>
      </c>
      <c r="G10">
        <f>VLOOKUP($A10,articles_2026_01_26!$A$2:$U$737,9,FALSE)</f>
        <v>1</v>
      </c>
      <c r="H10" t="str">
        <f>VLOOKUP($A10,articles_2026_01_26!$A$2:$U$737,10,FALSE)</f>
        <v>16626-16626</v>
      </c>
      <c r="I10">
        <f>VLOOKUP($A10,articles_2026_01_26!$A$2:$U$737,18,FALSE)</f>
        <v>0</v>
      </c>
    </row>
    <row r="11" spans="1:9" x14ac:dyDescent="0.25">
      <c r="A11" t="s">
        <v>196</v>
      </c>
      <c r="B11" t="str">
        <f>VLOOKUP($A11,articles_2026_01_26!$A$2:$U$737,11,FALSE)</f>
        <v>Noble M M and Fulton C J</v>
      </c>
      <c r="C11">
        <f>VLOOKUP($A11,articles_2026_01_26!$A$2:$U$737,3,FALSE)</f>
        <v>2020</v>
      </c>
      <c r="D11" t="str">
        <f>VLOOKUP($A11,articles_2026_01_26!$A$2:$U$737,2,FALSE)</f>
        <v>Pathways to impact for aquatic conservation science via multi-modal communication and stakeholder engagement</v>
      </c>
      <c r="E11" t="str">
        <f>VLOOKUP($A11,articles_2026_01_26!$A$2:$U$737,6,FALSE)</f>
        <v>Aquatic Conservation-Marine and Freshwater Ecosystems</v>
      </c>
      <c r="F11">
        <f>VLOOKUP($A11,articles_2026_01_26!$A$2:$U$737,8,FALSE)</f>
        <v>30</v>
      </c>
      <c r="G11">
        <f>VLOOKUP($A11,articles_2026_01_26!$A$2:$U$737,9,FALSE)</f>
        <v>9</v>
      </c>
      <c r="H11" t="str">
        <f>VLOOKUP($A11,articles_2026_01_26!$A$2:$U$737,10,FALSE)</f>
        <v>1791-1797</v>
      </c>
      <c r="I11" t="str">
        <f>VLOOKUP($A11,articles_2026_01_26!$A$2:$U$737,18,FALSE)</f>
        <v>10.1002/aqc.3380</v>
      </c>
    </row>
    <row r="12" spans="1:9" x14ac:dyDescent="0.25">
      <c r="A12" t="s">
        <v>205</v>
      </c>
      <c r="B12" t="str">
        <f>VLOOKUP($A12,articles_2026_01_26!$A$2:$U$737,11,FALSE)</f>
        <v>Martin-Mora E and Ellis S and Page L M</v>
      </c>
      <c r="C12">
        <f>VLOOKUP($A12,articles_2026_01_26!$A$2:$U$737,3,FALSE)</f>
        <v>2020</v>
      </c>
      <c r="D12" t="str">
        <f>VLOOKUP($A12,articles_2026_01_26!$A$2:$U$737,2,FALSE)</f>
        <v>Use of web-based species occurrence information systems by academics and government professionals</v>
      </c>
      <c r="E12" t="str">
        <f>VLOOKUP($A12,articles_2026_01_26!$A$2:$U$737,6,FALSE)</f>
        <v>PLoS ONE [Electronic Resource]</v>
      </c>
      <c r="F12">
        <f>VLOOKUP($A12,articles_2026_01_26!$A$2:$U$737,8,FALSE)</f>
        <v>15</v>
      </c>
      <c r="G12">
        <f>VLOOKUP($A12,articles_2026_01_26!$A$2:$U$737,9,FALSE)</f>
        <v>7</v>
      </c>
      <c r="H12" t="str">
        <f>VLOOKUP($A12,articles_2026_01_26!$A$2:$U$737,10,FALSE)</f>
        <v>e0236556-e0236556</v>
      </c>
      <c r="I12">
        <f>VLOOKUP($A12,articles_2026_01_26!$A$2:$U$737,18,FALSE)</f>
        <v>0</v>
      </c>
    </row>
    <row r="13" spans="1:9" x14ac:dyDescent="0.25">
      <c r="A13" t="s">
        <v>221</v>
      </c>
      <c r="B13" t="str">
        <f>VLOOKUP($A13,articles_2026_01_26!$A$2:$U$737,11,FALSE)</f>
        <v>Jacobson C and Lisle A and Carter R W and Hockings M T</v>
      </c>
      <c r="C13">
        <f>VLOOKUP($A13,articles_2026_01_26!$A$2:$U$737,3,FALSE)</f>
        <v>2013</v>
      </c>
      <c r="D13" t="str">
        <f>VLOOKUP($A13,articles_2026_01_26!$A$2:$U$737,2,FALSE)</f>
        <v>Improving technical information use: what can be learnt from a manager's perspective?</v>
      </c>
      <c r="E13" t="str">
        <f>VLOOKUP($A13,articles_2026_01_26!$A$2:$U$737,6,FALSE)</f>
        <v>Environmental Management</v>
      </c>
      <c r="F13">
        <f>VLOOKUP($A13,articles_2026_01_26!$A$2:$U$737,8,FALSE)</f>
        <v>52</v>
      </c>
      <c r="G13">
        <f>VLOOKUP($A13,articles_2026_01_26!$A$2:$U$737,9,FALSE)</f>
        <v>1</v>
      </c>
      <c r="H13" t="str">
        <f>VLOOKUP($A13,articles_2026_01_26!$A$2:$U$737,10,FALSE)</f>
        <v>221-233</v>
      </c>
      <c r="I13">
        <f>VLOOKUP($A13,articles_2026_01_26!$A$2:$U$737,18,FALSE)</f>
        <v>0</v>
      </c>
    </row>
    <row r="14" spans="1:9" x14ac:dyDescent="0.25">
      <c r="A14" t="s">
        <v>245</v>
      </c>
      <c r="B14" t="str">
        <f>VLOOKUP($A14,articles_2026_01_26!$A$2:$U$737,11,FALSE)</f>
        <v>Gray N J</v>
      </c>
      <c r="C14">
        <f>VLOOKUP($A14,articles_2026_01_26!$A$2:$U$737,3,FALSE)</f>
        <v>2016</v>
      </c>
      <c r="D14" t="str">
        <f>VLOOKUP($A14,articles_2026_01_26!$A$2:$U$737,2,FALSE)</f>
        <v>The role of boundary organizations in co-management: examining the politics of knowledge integration in a marine protected area in Belize</v>
      </c>
      <c r="E14" t="str">
        <f>VLOOKUP($A14,articles_2026_01_26!$A$2:$U$737,6,FALSE)</f>
        <v>International Journal of the Commons</v>
      </c>
      <c r="F14">
        <f>VLOOKUP($A14,articles_2026_01_26!$A$2:$U$737,8,FALSE)</f>
        <v>10</v>
      </c>
      <c r="G14">
        <f>VLOOKUP($A14,articles_2026_01_26!$A$2:$U$737,9,FALSE)</f>
        <v>2</v>
      </c>
      <c r="H14" t="str">
        <f>VLOOKUP($A14,articles_2026_01_26!$A$2:$U$737,10,FALSE)</f>
        <v>1013-1034</v>
      </c>
      <c r="I14" t="str">
        <f>VLOOKUP($A14,articles_2026_01_26!$A$2:$U$737,18,FALSE)</f>
        <v>10.18352/ijc.643</v>
      </c>
    </row>
    <row r="15" spans="1:9" x14ac:dyDescent="0.25">
      <c r="A15" t="s">
        <v>254</v>
      </c>
      <c r="B15" t="str">
        <f>VLOOKUP($A15,articles_2026_01_26!$A$2:$U$737,11,FALSE)</f>
        <v>Gerlach John David and Williams Laron K and Forcina Colleen E</v>
      </c>
      <c r="C15">
        <f>VLOOKUP($A15,articles_2026_01_26!$A$2:$U$737,3,FALSE)</f>
        <v>2013</v>
      </c>
      <c r="D15" t="str">
        <f>VLOOKUP($A15,articles_2026_01_26!$A$2:$U$737,2,FALSE)</f>
        <v>Data selection for making biodiversity management decisions: Best available science and institutionalized agency norms</v>
      </c>
      <c r="E15" t="str">
        <f>VLOOKUP($A15,articles_2026_01_26!$A$2:$U$737,6,FALSE)</f>
        <v>Administration &amp; Society</v>
      </c>
      <c r="F15">
        <f>VLOOKUP($A15,articles_2026_01_26!$A$2:$U$737,8,FALSE)</f>
        <v>45</v>
      </c>
      <c r="G15">
        <f>VLOOKUP($A15,articles_2026_01_26!$A$2:$U$737,9,FALSE)</f>
        <v>2</v>
      </c>
      <c r="H15" t="str">
        <f>VLOOKUP($A15,articles_2026_01_26!$A$2:$U$737,10,FALSE)</f>
        <v>213-241</v>
      </c>
      <c r="I15">
        <f>VLOOKUP($A15,articles_2026_01_26!$A$2:$U$737,18,FALSE)</f>
        <v>0</v>
      </c>
    </row>
    <row r="16" spans="1:9" x14ac:dyDescent="0.25">
      <c r="A16" t="s">
        <v>267</v>
      </c>
      <c r="B16" t="str">
        <f>VLOOKUP($A16,articles_2026_01_26!$A$2:$U$737,11,FALSE)</f>
        <v>Do Thi Huong and Krott Max and Juerges Nataly and BÃ¶cher Michael</v>
      </c>
      <c r="C16">
        <f>VLOOKUP($A16,articles_2026_01_26!$A$2:$U$737,3,FALSE)</f>
        <v>2018</v>
      </c>
      <c r="D16" t="str">
        <f>VLOOKUP($A16,articles_2026_01_26!$A$2:$U$737,2,FALSE)</f>
        <v>Red lists in conservation science-policy interfaces: A case study from Vietnam</v>
      </c>
      <c r="E16" t="str">
        <f>VLOOKUP($A16,articles_2026_01_26!$A$2:$U$737,6,FALSE)</f>
        <v>Biological Conservation</v>
      </c>
      <c r="F16">
        <f>VLOOKUP($A16,articles_2026_01_26!$A$2:$U$737,8,FALSE)</f>
        <v>226</v>
      </c>
      <c r="G16">
        <f>VLOOKUP($A16,articles_2026_01_26!$A$2:$U$737,9,FALSE)</f>
        <v>0</v>
      </c>
      <c r="H16" t="str">
        <f>VLOOKUP($A16,articles_2026_01_26!$A$2:$U$737,10,FALSE)</f>
        <v>101-110</v>
      </c>
      <c r="I16" t="str">
        <f>VLOOKUP($A16,articles_2026_01_26!$A$2:$U$737,18,FALSE)</f>
        <v>10.1016/j.biocon.2018.07.016</v>
      </c>
    </row>
    <row r="17" spans="1:9" x14ac:dyDescent="0.25">
      <c r="A17" t="s">
        <v>313</v>
      </c>
      <c r="B17" t="str">
        <f>VLOOKUP($A17,articles_2026_01_26!$A$2:$U$737,11,FALSE)</f>
        <v>Carmen E and Nesshover C and Saarikoski H and Vandewalle M and Watt A and Wittmer H and Young J</v>
      </c>
      <c r="C17">
        <f>VLOOKUP($A17,articles_2026_01_26!$A$2:$U$737,3,FALSE)</f>
        <v>2015</v>
      </c>
      <c r="D17" t="str">
        <f>VLOOKUP($A17,articles_2026_01_26!$A$2:$U$737,2,FALSE)</f>
        <v>Creating a biodiversity science community: Experiences from a European Network of Knowledge</v>
      </c>
      <c r="E17" t="str">
        <f>VLOOKUP($A17,articles_2026_01_26!$A$2:$U$737,6,FALSE)</f>
        <v>Environmental Science and Policy</v>
      </c>
      <c r="F17">
        <f>VLOOKUP($A17,articles_2026_01_26!$A$2:$U$737,8,FALSE)</f>
        <v>54</v>
      </c>
      <c r="G17">
        <f>VLOOKUP($A17,articles_2026_01_26!$A$2:$U$737,9,FALSE)</f>
        <v>0</v>
      </c>
      <c r="H17" t="str">
        <f>VLOOKUP($A17,articles_2026_01_26!$A$2:$U$737,10,FALSE)</f>
        <v>497-504</v>
      </c>
      <c r="I17">
        <f>VLOOKUP($A17,articles_2026_01_26!$A$2:$U$737,18,FALSE)</f>
        <v>0</v>
      </c>
    </row>
    <row r="18" spans="1:9" x14ac:dyDescent="0.25">
      <c r="A18" t="s">
        <v>320</v>
      </c>
      <c r="B18" t="str">
        <f>VLOOKUP($A18,articles_2026_01_26!$A$2:$U$737,11,FALSE)</f>
        <v>Busbridge S and Clarkson B D and Wallace K J</v>
      </c>
      <c r="C18">
        <f>VLOOKUP($A18,articles_2026_01_26!$A$2:$U$737,3,FALSE)</f>
        <v>2021</v>
      </c>
      <c r="D18" t="str">
        <f>VLOOKUP($A18,articles_2026_01_26!$A$2:$U$737,2,FALSE)</f>
        <v>A tenuous link: Information transfer between urban ecological research and restoration practice</v>
      </c>
      <c r="E18" t="str">
        <f>VLOOKUP($A18,articles_2026_01_26!$A$2:$U$737,6,FALSE)</f>
        <v>Urban Forestry &amp; Urban Greening</v>
      </c>
      <c r="F18">
        <f>VLOOKUP($A18,articles_2026_01_26!$A$2:$U$737,8,FALSE)</f>
        <v>60</v>
      </c>
      <c r="G18">
        <f>VLOOKUP($A18,articles_2026_01_26!$A$2:$U$737,9,FALSE)</f>
        <v>0</v>
      </c>
      <c r="H18">
        <f>VLOOKUP($A18,articles_2026_01_26!$A$2:$U$737,10,FALSE)</f>
        <v>0</v>
      </c>
      <c r="I18" t="str">
        <f>VLOOKUP($A18,articles_2026_01_26!$A$2:$U$737,18,FALSE)</f>
        <v>10.1016/j.ufug.2021.127019</v>
      </c>
    </row>
    <row r="19" spans="1:9" x14ac:dyDescent="0.25">
      <c r="A19" t="s">
        <v>369</v>
      </c>
      <c r="B19" t="str">
        <f>VLOOKUP($A19,articles_2026_01_26!$A$2:$U$737,11,FALSE)</f>
        <v>Yocum H M and Sassorossi D M and Ray A J</v>
      </c>
      <c r="C19">
        <f>VLOOKUP($A19,articles_2026_01_26!$A$2:$U$737,3,FALSE)</f>
        <v>2022</v>
      </c>
      <c r="D19" t="str">
        <f>VLOOKUP($A19,articles_2026_01_26!$A$2:$U$737,2,FALSE)</f>
        <v>Assessing the use of climate change information in State Wildlife Action Plans</v>
      </c>
      <c r="E19" t="str">
        <f>VLOOKUP($A19,articles_2026_01_26!$A$2:$U$737,6,FALSE)</f>
        <v>Conservation Science and Practice</v>
      </c>
      <c r="F19">
        <f>VLOOKUP($A19,articles_2026_01_26!$A$2:$U$737,8,FALSE)</f>
        <v>4</v>
      </c>
      <c r="G19">
        <f>VLOOKUP($A19,articles_2026_01_26!$A$2:$U$737,9,FALSE)</f>
        <v>3</v>
      </c>
      <c r="H19">
        <f>VLOOKUP($A19,articles_2026_01_26!$A$2:$U$737,10,FALSE)</f>
        <v>0</v>
      </c>
      <c r="I19" t="str">
        <f>VLOOKUP($A19,articles_2026_01_26!$A$2:$U$737,18,FALSE)</f>
        <v>10.1111/csp2.608</v>
      </c>
    </row>
    <row r="20" spans="1:9" x14ac:dyDescent="0.25">
      <c r="A20" t="s">
        <v>731</v>
      </c>
      <c r="B20" t="str">
        <f>VLOOKUP($A20,articles_2026_01_26!$A$2:$U$737,11,FALSE)</f>
        <v>Mumford T and Harvey N</v>
      </c>
      <c r="C20">
        <f>VLOOKUP($A20,articles_2026_01_26!$A$2:$U$737,3,FALSE)</f>
        <v>2014</v>
      </c>
      <c r="D20" t="str">
        <f>VLOOKUP($A20,articles_2026_01_26!$A$2:$U$737,2,FALSE)</f>
        <v>Champions as Influencers of Science uptake into australian coastal zone policy</v>
      </c>
      <c r="E20" t="str">
        <f>VLOOKUP($A20,articles_2026_01_26!$A$2:$U$737,6,FALSE)</f>
        <v>Coastal Management</v>
      </c>
      <c r="F20">
        <f>VLOOKUP($A20,articles_2026_01_26!$A$2:$U$737,8,FALSE)</f>
        <v>42</v>
      </c>
      <c r="G20">
        <f>VLOOKUP($A20,articles_2026_01_26!$A$2:$U$737,9,FALSE)</f>
        <v>6</v>
      </c>
      <c r="H20" t="str">
        <f>VLOOKUP($A20,articles_2026_01_26!$A$2:$U$737,10,FALSE)</f>
        <v>495-511</v>
      </c>
      <c r="I20" t="str">
        <f>VLOOKUP($A20,articles_2026_01_26!$A$2:$U$737,18,FALSE)</f>
        <v>10.1080/08920753.2014.964654</v>
      </c>
    </row>
    <row r="21" spans="1:9" x14ac:dyDescent="0.25">
      <c r="A21" t="s">
        <v>748</v>
      </c>
      <c r="B21" t="str">
        <f>VLOOKUP($A21,articles_2026_01_26!$A$2:$U$737,11,FALSE)</f>
        <v>Miljand Matilda and Eckerberg Katarina</v>
      </c>
      <c r="C21">
        <f>VLOOKUP($A21,articles_2026_01_26!$A$2:$U$737,3,FALSE)</f>
        <v>2022</v>
      </c>
      <c r="D21" t="str">
        <f>VLOOKUP($A21,articles_2026_01_26!$A$2:$U$737,2,FALSE)</f>
        <v>Using systematic reviews to inform environmental policy-making</v>
      </c>
      <c r="E21" t="str">
        <f>VLOOKUP($A21,articles_2026_01_26!$A$2:$U$737,6,FALSE)</f>
        <v>Evaluation</v>
      </c>
      <c r="F21">
        <f>VLOOKUP($A21,articles_2026_01_26!$A$2:$U$737,8,FALSE)</f>
        <v>28</v>
      </c>
      <c r="G21">
        <f>VLOOKUP($A21,articles_2026_01_26!$A$2:$U$737,9,FALSE)</f>
        <v>2</v>
      </c>
      <c r="H21" t="str">
        <f>VLOOKUP($A21,articles_2026_01_26!$A$2:$U$737,10,FALSE)</f>
        <v>210-230</v>
      </c>
      <c r="I21" t="str">
        <f>VLOOKUP($A21,articles_2026_01_26!$A$2:$U$737,18,FALSE)</f>
        <v>10.1177/13563890221076540</v>
      </c>
    </row>
    <row r="22" spans="1:9" x14ac:dyDescent="0.25">
      <c r="A22" t="s">
        <v>1089</v>
      </c>
      <c r="B22" t="str">
        <f>VLOOKUP($A22,articles_2026_01_26!$A$2:$U$737,11,FALSE)</f>
        <v>Belcher B and Suryadarma D and Halimanjaya A</v>
      </c>
      <c r="C22">
        <f>VLOOKUP($A22,articles_2026_01_26!$A$2:$U$737,3,FALSE)</f>
        <v>2017</v>
      </c>
      <c r="D22" t="str">
        <f>VLOOKUP($A22,articles_2026_01_26!$A$2:$U$737,2,FALSE)</f>
        <v>Evaluating policy-relevant research: lessons from a series of theory-based outcomes assessments</v>
      </c>
      <c r="E22" t="str">
        <f>VLOOKUP($A22,articles_2026_01_26!$A$2:$U$737,6,FALSE)</f>
        <v>Palgrave Communications</v>
      </c>
      <c r="F22">
        <f>VLOOKUP($A22,articles_2026_01_26!$A$2:$U$737,8,FALSE)</f>
        <v>3</v>
      </c>
      <c r="G22">
        <f>VLOOKUP($A22,articles_2026_01_26!$A$2:$U$737,9,FALSE)</f>
        <v>0</v>
      </c>
      <c r="H22">
        <f>VLOOKUP($A22,articles_2026_01_26!$A$2:$U$737,10,FALSE)</f>
        <v>0</v>
      </c>
      <c r="I22" t="str">
        <f>VLOOKUP($A22,articles_2026_01_26!$A$2:$U$737,18,FALSE)</f>
        <v>10.1057/palcomms.2017.17</v>
      </c>
    </row>
    <row r="23" spans="1:9" x14ac:dyDescent="0.25">
      <c r="A23" t="s">
        <v>1115</v>
      </c>
      <c r="B23" t="str">
        <f>VLOOKUP($A23,articles_2026_01_26!$A$2:$U$737,11,FALSE)</f>
        <v>Baycheva-Merger T</v>
      </c>
      <c r="C23">
        <f>VLOOKUP($A23,articles_2026_01_26!$A$2:$U$737,3,FALSE)</f>
        <v>2019</v>
      </c>
      <c r="D23" t="str">
        <f>VLOOKUP($A23,articles_2026_01_26!$A$2:$U$737,2,FALSE)</f>
        <v>Forest Policy Information Networks and the Role of Trust: Cooperative and Competitive Orientations and Underlying Causes</v>
      </c>
      <c r="E23" t="str">
        <f>VLOOKUP($A23,articles_2026_01_26!$A$2:$U$737,6,FALSE)</f>
        <v>Forests</v>
      </c>
      <c r="F23">
        <f>VLOOKUP($A23,articles_2026_01_26!$A$2:$U$737,8,FALSE)</f>
        <v>10</v>
      </c>
      <c r="G23">
        <f>VLOOKUP($A23,articles_2026_01_26!$A$2:$U$737,9,FALSE)</f>
        <v>4</v>
      </c>
      <c r="H23">
        <f>VLOOKUP($A23,articles_2026_01_26!$A$2:$U$737,10,FALSE)</f>
        <v>0</v>
      </c>
      <c r="I23" t="str">
        <f>VLOOKUP($A23,articles_2026_01_26!$A$2:$U$737,18,FALSE)</f>
        <v>10.3390/f10040359</v>
      </c>
    </row>
    <row r="24" spans="1:9" x14ac:dyDescent="0.25">
      <c r="A24" t="s">
        <v>1162</v>
      </c>
      <c r="B24" t="str">
        <f>VLOOKUP($A24,articles_2026_01_26!$A$2:$U$737,11,FALSE)</f>
        <v>Kadykalo, A.N. and Cooke, S.J. and Young, N.</v>
      </c>
      <c r="C24">
        <f>VLOOKUP($A24,articles_2026_01_26!$A$2:$U$737,3,FALSE)</f>
        <v>2020</v>
      </c>
      <c r="D24" t="str">
        <f>VLOOKUP($A24,articles_2026_01_26!$A$2:$U$737,2,FALSE)</f>
        <v>Conservation genomics from a practitioner lens: Evaluating the research-implementation gap in a managed freshwater fishery</v>
      </c>
      <c r="E24" t="str">
        <f>VLOOKUP($A24,articles_2026_01_26!$A$2:$U$737,6,FALSE)</f>
        <v>Biological Conservation</v>
      </c>
      <c r="F24">
        <f>VLOOKUP($A24,articles_2026_01_26!$A$2:$U$737,8,FALSE)</f>
        <v>241</v>
      </c>
      <c r="G24">
        <f>VLOOKUP($A24,articles_2026_01_26!$A$2:$U$737,9,FALSE)</f>
        <v>0</v>
      </c>
      <c r="H24">
        <f>VLOOKUP($A24,articles_2026_01_26!$A$2:$U$737,10,FALSE)</f>
        <v>0</v>
      </c>
      <c r="I24" t="str">
        <f>VLOOKUP($A24,articles_2026_01_26!$A$2:$U$737,18,FALSE)</f>
        <v>10.1016/j.biocon.2019.108350</v>
      </c>
    </row>
    <row r="25" spans="1:9" x14ac:dyDescent="0.25">
      <c r="A25" t="s">
        <v>1275</v>
      </c>
      <c r="B25" t="str">
        <f>VLOOKUP($A25,articles_2026_01_26!$A$2:$U$737,11,FALSE)</f>
        <v>Reed, M.S. and Stringer, L.C. and Fazey, I. and Evely, A.C. and Kruijsen, J.H.J.</v>
      </c>
      <c r="C25">
        <f>VLOOKUP($A25,articles_2026_01_26!$A$2:$U$737,3,FALSE)</f>
        <v>2014</v>
      </c>
      <c r="D25" t="str">
        <f>VLOOKUP($A25,articles_2026_01_26!$A$2:$U$737,2,FALSE)</f>
        <v>Five principles for the practice of knowledge exchange in environmental management</v>
      </c>
      <c r="E25" t="str">
        <f>VLOOKUP($A25,articles_2026_01_26!$A$2:$U$737,6,FALSE)</f>
        <v>Journal of Environmental Management</v>
      </c>
      <c r="F25">
        <f>VLOOKUP($A25,articles_2026_01_26!$A$2:$U$737,8,FALSE)</f>
        <v>146</v>
      </c>
      <c r="G25">
        <f>VLOOKUP($A25,articles_2026_01_26!$A$2:$U$737,9,FALSE)</f>
        <v>0</v>
      </c>
      <c r="H25" t="str">
        <f>VLOOKUP($A25,articles_2026_01_26!$A$2:$U$737,10,FALSE)</f>
        <v>337-345</v>
      </c>
      <c r="I25" t="str">
        <f>VLOOKUP($A25,articles_2026_01_26!$A$2:$U$737,18,FALSE)</f>
        <v>10.1016/j.jenvman.2014.07.021</v>
      </c>
    </row>
    <row r="26" spans="1:9" x14ac:dyDescent="0.25">
      <c r="A26" t="s">
        <v>1390</v>
      </c>
      <c r="B26" t="str">
        <f>VLOOKUP($A26,articles_2026_01_26!$A$2:$U$737,11,FALSE)</f>
        <v>Kadykalo, A.N. and Cooke, S.J. and Young, N.</v>
      </c>
      <c r="C26">
        <f>VLOOKUP($A26,articles_2026_01_26!$A$2:$U$737,3,FALSE)</f>
        <v>2021</v>
      </c>
      <c r="D26" t="str">
        <f>VLOOKUP($A26,articles_2026_01_26!$A$2:$U$737,2,FALSE)</f>
        <v>The role of western-based scientific, Indigenous and local knowledge in wildlife management and conservation</v>
      </c>
      <c r="E26" t="str">
        <f>VLOOKUP($A26,articles_2026_01_26!$A$2:$U$737,6,FALSE)</f>
        <v>People and Nature</v>
      </c>
      <c r="F26">
        <f>VLOOKUP($A26,articles_2026_01_26!$A$2:$U$737,8,FALSE)</f>
        <v>3</v>
      </c>
      <c r="G26">
        <f>VLOOKUP($A26,articles_2026_01_26!$A$2:$U$737,9,FALSE)</f>
        <v>3</v>
      </c>
      <c r="H26" t="str">
        <f>VLOOKUP($A26,articles_2026_01_26!$A$2:$U$737,10,FALSE)</f>
        <v>610-626</v>
      </c>
      <c r="I26" t="str">
        <f>VLOOKUP($A26,articles_2026_01_26!$A$2:$U$737,18,FALSE)</f>
        <v>10.1002/pan3.10194</v>
      </c>
    </row>
    <row r="27" spans="1:9" x14ac:dyDescent="0.25">
      <c r="A27" t="s">
        <v>1545</v>
      </c>
      <c r="B27" t="str">
        <f>VLOOKUP($A27,articles_2026_01_26!$A$2:$U$737,11,FALSE)</f>
        <v>Cook, C.N. and Hockings, M. and Carter, R.W.</v>
      </c>
      <c r="C27">
        <f>VLOOKUP($A27,articles_2026_01_26!$A$2:$U$737,3,FALSE)</f>
        <v>2010</v>
      </c>
      <c r="D27" t="str">
        <f>VLOOKUP($A27,articles_2026_01_26!$A$2:$U$737,2,FALSE)</f>
        <v>Conservation in the dark? The information used to support management decisions</v>
      </c>
      <c r="E27" t="str">
        <f>VLOOKUP($A27,articles_2026_01_26!$A$2:$U$737,6,FALSE)</f>
        <v>Frontiers in Ecology and the Environment</v>
      </c>
      <c r="F27">
        <f>VLOOKUP($A27,articles_2026_01_26!$A$2:$U$737,8,FALSE)</f>
        <v>8</v>
      </c>
      <c r="G27">
        <f>VLOOKUP($A27,articles_2026_01_26!$A$2:$U$737,9,FALSE)</f>
        <v>4</v>
      </c>
      <c r="H27" t="str">
        <f>VLOOKUP($A27,articles_2026_01_26!$A$2:$U$737,10,FALSE)</f>
        <v>181-188</v>
      </c>
      <c r="I27" t="str">
        <f>VLOOKUP($A27,articles_2026_01_26!$A$2:$U$737,18,FALSE)</f>
        <v>10.1890/090020</v>
      </c>
    </row>
    <row r="28" spans="1:9" x14ac:dyDescent="0.25">
      <c r="A28" t="s">
        <v>1575</v>
      </c>
      <c r="B28" t="str">
        <f>VLOOKUP($A28,articles_2026_01_26!$A$2:$U$737,11,FALSE)</f>
        <v>Coreau, A. and Guillet, F. and Rabaud, S.</v>
      </c>
      <c r="C28">
        <f>VLOOKUP($A28,articles_2026_01_26!$A$2:$U$737,3,FALSE)</f>
        <v>2018</v>
      </c>
      <c r="D28" t="str">
        <f>VLOOKUP($A28,articles_2026_01_26!$A$2:$U$737,2,FALSE)</f>
        <v>The influence of ecological knowledge on biodiversity conservation policies: A strategic challenge for knowledge producers</v>
      </c>
      <c r="E28" t="str">
        <f>VLOOKUP($A28,articles_2026_01_26!$A$2:$U$737,6,FALSE)</f>
        <v>Journal for Nature Conservation</v>
      </c>
      <c r="F28">
        <f>VLOOKUP($A28,articles_2026_01_26!$A$2:$U$737,8,FALSE)</f>
        <v>46</v>
      </c>
      <c r="G28">
        <f>VLOOKUP($A28,articles_2026_01_26!$A$2:$U$737,9,FALSE)</f>
        <v>0</v>
      </c>
      <c r="H28" t="str">
        <f>VLOOKUP($A28,articles_2026_01_26!$A$2:$U$737,10,FALSE)</f>
        <v>97-105</v>
      </c>
      <c r="I28" t="str">
        <f>VLOOKUP($A28,articles_2026_01_26!$A$2:$U$737,18,FALSE)</f>
        <v>10.1016/j.jnc.2017.10.008</v>
      </c>
    </row>
    <row r="29" spans="1:9" x14ac:dyDescent="0.25">
      <c r="A29" t="s">
        <v>1732</v>
      </c>
      <c r="B29" t="str">
        <f>VLOOKUP($A29,articles_2026_01_26!$A$2:$U$737,11,FALSE)</f>
        <v>Karcher, D.B. and Cvitanovic, C. and van Putten, I.E. and Colvin, R.M. and Armitage, D. and Aswani, S. and Ballesteros, M. and Ban, N.C. and BarragÃ¡n-Paladines, M.J. and Bednarek, A. and Bell, J.D. and Brooks, C.M. and Daw, T.M. and de la Cruz-Modino, R. and Francis, T.B. and Fulton, E.A. and Hobday, A.J. and Holcer, D. and Hudson, C. and Jennerjahn, T.C. and Kinney, A. and Knol-Kauffman, M. and LÃ¶f, M.F. and Lopes, P.F.M. and Mackelworth, P.C. and McQuatters-Gollop, A. and Muhl, E.-K. and Neihapi, P. and Pascual-FernÃ¡ndez, J.J. and Posner, S.M. and Runhaar, H. and Sainsbury, K. and Sander, G. and Steenbergen, D.J. and Tuda, P.M. and Whiteman, E. and Zhang, J.</v>
      </c>
      <c r="C29">
        <f>VLOOKUP($A29,articles_2026_01_26!$A$2:$U$737,3,FALSE)</f>
        <v>2022</v>
      </c>
      <c r="D29" t="str">
        <f>VLOOKUP($A29,articles_2026_01_26!$A$2:$U$737,2,FALSE)</f>
        <v>Lessons from bright-spots for advancing knowledge exchange at the interface of marine science and policy</v>
      </c>
      <c r="E29" t="str">
        <f>VLOOKUP($A29,articles_2026_01_26!$A$2:$U$737,6,FALSE)</f>
        <v>Journal of Environmental Management</v>
      </c>
      <c r="F29">
        <f>VLOOKUP($A29,articles_2026_01_26!$A$2:$U$737,8,FALSE)</f>
        <v>314</v>
      </c>
      <c r="G29">
        <f>VLOOKUP($A29,articles_2026_01_26!$A$2:$U$737,9,FALSE)</f>
        <v>0</v>
      </c>
      <c r="H29">
        <f>VLOOKUP($A29,articles_2026_01_26!$A$2:$U$737,10,FALSE)</f>
        <v>0</v>
      </c>
      <c r="I29" t="str">
        <f>VLOOKUP($A29,articles_2026_01_26!$A$2:$U$737,18,FALSE)</f>
        <v>10.1016/j.jenvman.2022.114994</v>
      </c>
    </row>
    <row r="30" spans="1:9" x14ac:dyDescent="0.25">
      <c r="A30" t="s">
        <v>1957</v>
      </c>
      <c r="B30" t="str">
        <f>VLOOKUP($A30,articles_2026_01_26!$A$2:$U$737,11,FALSE)</f>
        <v>Cross, M.S. and Oakes, L.E. and Kretser, H.E. and Bredehoft, R. and Dey, P. and Mahoney, A. and Smith, N. and Tator, I. and Wasseen, J.</v>
      </c>
      <c r="C30">
        <f>VLOOKUP($A30,articles_2026_01_26!$A$2:$U$737,3,FALSE)</f>
        <v>2022</v>
      </c>
      <c r="D30" t="str">
        <f>VLOOKUP($A30,articles_2026_01_26!$A$2:$U$737,2,FALSE)</f>
        <v>Tackling the Science Usability Gap in a Warming World: Co-Producing Useable Climate Information for Natural Resource Management</v>
      </c>
      <c r="E30" t="str">
        <f>VLOOKUP($A30,articles_2026_01_26!$A$2:$U$737,6,FALSE)</f>
        <v>Environmental Management</v>
      </c>
      <c r="F30">
        <f>VLOOKUP($A30,articles_2026_01_26!$A$2:$U$737,8,FALSE)</f>
        <v>70</v>
      </c>
      <c r="G30">
        <f>VLOOKUP($A30,articles_2026_01_26!$A$2:$U$737,9,FALSE)</f>
        <v>6</v>
      </c>
      <c r="H30" t="str">
        <f>VLOOKUP($A30,articles_2026_01_26!$A$2:$U$737,10,FALSE)</f>
        <v>881-895</v>
      </c>
      <c r="I30" t="str">
        <f>VLOOKUP($A30,articles_2026_01_26!$A$2:$U$737,18,FALSE)</f>
        <v>10.1007/s00267-022-01718-4</v>
      </c>
    </row>
    <row r="31" spans="1:9" x14ac:dyDescent="0.25">
      <c r="A31" t="s">
        <v>2195</v>
      </c>
      <c r="B31" t="str">
        <f>VLOOKUP($A31,articles_2026_01_26!$A$2:$U$737,11,FALSE)</f>
        <v>de Vries, J. and Spijkerboer, R. and Zuidema, C.</v>
      </c>
      <c r="C31">
        <f>VLOOKUP($A31,articles_2026_01_26!$A$2:$U$737,3,FALSE)</f>
        <v>2023</v>
      </c>
      <c r="D31" t="str">
        <f>VLOOKUP($A31,articles_2026_01_26!$A$2:$U$737,2,FALSE)</f>
        <v>Risks for Knowledge-Uptake in Dutch Marine Spatial Planning: Incompatibilities Between Research and Policy-Making</v>
      </c>
      <c r="E31" t="str">
        <f>VLOOKUP($A31,articles_2026_01_26!$A$2:$U$737,6,FALSE)</f>
        <v>Proceedings of the European Conference on Knowledge Management, ECKM</v>
      </c>
      <c r="F31">
        <f>VLOOKUP($A31,articles_2026_01_26!$A$2:$U$737,8,FALSE)</f>
        <v>1</v>
      </c>
      <c r="G31">
        <f>VLOOKUP($A31,articles_2026_01_26!$A$2:$U$737,9,FALSE)</f>
        <v>0</v>
      </c>
      <c r="H31" t="str">
        <f>VLOOKUP($A31,articles_2026_01_26!$A$2:$U$737,10,FALSE)</f>
        <v>302-309</v>
      </c>
      <c r="I31">
        <f>VLOOKUP($A31,articles_2026_01_26!$A$2:$U$737,18,FALSE)</f>
        <v>0</v>
      </c>
    </row>
    <row r="32" spans="1:9" x14ac:dyDescent="0.25">
      <c r="A32" t="s">
        <v>2359</v>
      </c>
      <c r="B32" t="str">
        <f>VLOOKUP($A32,articles_2026_01_26!$A$2:$U$737,11,FALSE)</f>
        <v>Lowell, S.M. and Hoffmann, T.C. and McGrath, M. and Brazil, G. and Thomas, S.L.</v>
      </c>
      <c r="C32">
        <f>VLOOKUP($A32,articles_2026_01_26!$A$2:$U$737,3,FALSE)</f>
        <v>2012</v>
      </c>
      <c r="D32" t="str">
        <f>VLOOKUP($A32,articles_2026_01_26!$A$2:$U$737,2,FALSE)</f>
        <v>Coastal and Ocean Science-Based Decision-Making in the Gulf of California: Lessons and Opportunities for Improvement</v>
      </c>
      <c r="E32" t="str">
        <f>VLOOKUP($A32,articles_2026_01_26!$A$2:$U$737,6,FALSE)</f>
        <v>Coastal Management</v>
      </c>
      <c r="F32">
        <f>VLOOKUP($A32,articles_2026_01_26!$A$2:$U$737,8,FALSE)</f>
        <v>40</v>
      </c>
      <c r="G32">
        <f>VLOOKUP($A32,articles_2026_01_26!$A$2:$U$737,9,FALSE)</f>
        <v>6</v>
      </c>
      <c r="H32" t="str">
        <f>VLOOKUP($A32,articles_2026_01_26!$A$2:$U$737,10,FALSE)</f>
        <v>557-576</v>
      </c>
      <c r="I32" t="str">
        <f>VLOOKUP($A32,articles_2026_01_26!$A$2:$U$737,18,FALSE)</f>
        <v>10.1080/08920753.2012.727725</v>
      </c>
    </row>
    <row r="33" spans="1:9" x14ac:dyDescent="0.25">
      <c r="A33" t="s">
        <v>2523</v>
      </c>
      <c r="B33" t="str">
        <f>VLOOKUP($A33,articles_2026_01_26!$A$2:$U$737,11,FALSE)</f>
        <v>McGreavy, B. and Randall, S. and Quiring, T. and Hathaway, C. and Hillyer, G.</v>
      </c>
      <c r="C33">
        <f>VLOOKUP($A33,articles_2026_01_26!$A$2:$U$737,3,FALSE)</f>
        <v>2018</v>
      </c>
      <c r="D33" t="str">
        <f>VLOOKUP($A33,articles_2026_01_26!$A$2:$U$737,2,FALSE)</f>
        <v>Enhancing adaptive capacities in coastal communities through engaged communication research: Insights from a statewide study of shellfish co-management</v>
      </c>
      <c r="E33" t="str">
        <f>VLOOKUP($A33,articles_2026_01_26!$A$2:$U$737,6,FALSE)</f>
        <v>Ocean and Coastal Management</v>
      </c>
      <c r="F33">
        <f>VLOOKUP($A33,articles_2026_01_26!$A$2:$U$737,8,FALSE)</f>
        <v>163</v>
      </c>
      <c r="G33">
        <f>VLOOKUP($A33,articles_2026_01_26!$A$2:$U$737,9,FALSE)</f>
        <v>0</v>
      </c>
      <c r="H33" t="str">
        <f>VLOOKUP($A33,articles_2026_01_26!$A$2:$U$737,10,FALSE)</f>
        <v>240-253</v>
      </c>
      <c r="I33" t="str">
        <f>VLOOKUP($A33,articles_2026_01_26!$A$2:$U$737,18,FALSE)</f>
        <v>10.1016/j.ocecoaman.2018.06.016</v>
      </c>
    </row>
    <row r="34" spans="1:9" x14ac:dyDescent="0.25">
      <c r="A34" t="s">
        <v>2821</v>
      </c>
      <c r="B34" t="str">
        <f>VLOOKUP($A34,articles_2026_01_26!$A$2:$U$737,11,FALSE)</f>
        <v>Amano, T. and Berdejo-Espinola, V. and Akasaka, M. and de Andrade Junior, M.A.U. and Blaise, N. and Checco, J. and Ã‡ilingir, F.G. and Citegetse, G. and Corella Tor, M. and Drobniak, S.M. and Giakoumi, S. and Golivets, M. and Ion, M.C. and Jara-DÃ­az, J.P. and Katayose, R. and Lasmana, F.P.S. and Lin, H.-Y. and Lopez, E. and Mikula, P. and Morales-Barquero, L. and Mupepele, A.-C. and NarvÃ¡ez-GÃ³mez, J.P. and Nguyen, T.H. and Lisboa, S.N. and NuÃ±ez, M.A. and PavÃ³n-JordÃ¡n, D. and Pottier, P. and Prescott, G.W. and Samad, F. and Å Ä‡iban, M. and Seo, H.-M. and Shinoda, Y. and Vajna, F. and Vozykova, S. and Walsh, J.C. and Wee, A.K.S. and Xiao, H. and Zamora-Gutierrez, V.</v>
      </c>
      <c r="C34">
        <f>VLOOKUP($A34,articles_2026_01_26!$A$2:$U$737,3,FALSE)</f>
        <v>2023</v>
      </c>
      <c r="D34" t="str">
        <f>VLOOKUP($A34,articles_2026_01_26!$A$2:$U$737,2,FALSE)</f>
        <v>The role of non-English-language science in informing national biodiversity assessments</v>
      </c>
      <c r="E34" t="str">
        <f>VLOOKUP($A34,articles_2026_01_26!$A$2:$U$737,6,FALSE)</f>
        <v>Nature Sustainability</v>
      </c>
      <c r="F34">
        <f>VLOOKUP($A34,articles_2026_01_26!$A$2:$U$737,8,FALSE)</f>
        <v>6</v>
      </c>
      <c r="G34">
        <f>VLOOKUP($A34,articles_2026_01_26!$A$2:$U$737,9,FALSE)</f>
        <v>7</v>
      </c>
      <c r="H34" t="str">
        <f>VLOOKUP($A34,articles_2026_01_26!$A$2:$U$737,10,FALSE)</f>
        <v>845-854</v>
      </c>
      <c r="I34" t="str">
        <f>VLOOKUP($A34,articles_2026_01_26!$A$2:$U$737,18,FALSE)</f>
        <v>10.1038/s41893-023-01087-8</v>
      </c>
    </row>
    <row r="35" spans="1:9" x14ac:dyDescent="0.25">
      <c r="A35" t="s">
        <v>2857</v>
      </c>
      <c r="B35" t="str">
        <f>VLOOKUP($A35,articles_2026_01_26!$A$2:$U$737,11,FALSE)</f>
        <v>Li, O. and Sutton, S.G. and Tynan, L.</v>
      </c>
      <c r="C35">
        <f>VLOOKUP($A35,articles_2026_01_26!$A$2:$U$737,3,FALSE)</f>
        <v>2010</v>
      </c>
      <c r="D35" t="str">
        <f>VLOOKUP($A35,articles_2026_01_26!$A$2:$U$737,2,FALSE)</f>
        <v>Communicating scientific information to recreational fishers</v>
      </c>
      <c r="E35" t="str">
        <f>VLOOKUP($A35,articles_2026_01_26!$A$2:$U$737,6,FALSE)</f>
        <v>Human Dimensions of Wildlife</v>
      </c>
      <c r="F35">
        <f>VLOOKUP($A35,articles_2026_01_26!$A$2:$U$737,8,FALSE)</f>
        <v>15</v>
      </c>
      <c r="G35">
        <f>VLOOKUP($A35,articles_2026_01_26!$A$2:$U$737,9,FALSE)</f>
        <v>2</v>
      </c>
      <c r="H35" t="str">
        <f>VLOOKUP($A35,articles_2026_01_26!$A$2:$U$737,10,FALSE)</f>
        <v>106-118</v>
      </c>
      <c r="I35" t="str">
        <f>VLOOKUP($A35,articles_2026_01_26!$A$2:$U$737,18,FALSE)</f>
        <v>10.1080/10871200903366939</v>
      </c>
    </row>
    <row r="36" spans="1:9" x14ac:dyDescent="0.25">
      <c r="A36" t="s">
        <v>2921</v>
      </c>
      <c r="B36" t="str">
        <f>VLOOKUP($A36,articles_2026_01_26!$A$2:$U$737,11,FALSE)</f>
        <v>Kim, M.K. and Evans, L. and Scherl, L.M. and Marsh, H.</v>
      </c>
      <c r="C36">
        <f>VLOOKUP($A36,articles_2026_01_26!$A$2:$U$737,3,FALSE)</f>
        <v>2016</v>
      </c>
      <c r="D36" t="str">
        <f>VLOOKUP($A36,articles_2026_01_26!$A$2:$U$737,2,FALSE)</f>
        <v>Applying Governance Principles to Systematic Conservation Decision-Making in Queensland</v>
      </c>
      <c r="E36" t="str">
        <f>VLOOKUP($A36,articles_2026_01_26!$A$2:$U$737,6,FALSE)</f>
        <v>Environmental Policy and Governance</v>
      </c>
      <c r="F36">
        <f>VLOOKUP($A36,articles_2026_01_26!$A$2:$U$737,8,FALSE)</f>
        <v>26</v>
      </c>
      <c r="G36">
        <f>VLOOKUP($A36,articles_2026_01_26!$A$2:$U$737,9,FALSE)</f>
        <v>6</v>
      </c>
      <c r="H36" t="str">
        <f>VLOOKUP($A36,articles_2026_01_26!$A$2:$U$737,10,FALSE)</f>
        <v>452-467</v>
      </c>
      <c r="I36" t="str">
        <f>VLOOKUP($A36,articles_2026_01_26!$A$2:$U$737,18,FALSE)</f>
        <v>10.1002/eet.1731</v>
      </c>
    </row>
    <row r="37" spans="1:9" x14ac:dyDescent="0.25">
      <c r="A37" t="s">
        <v>3212</v>
      </c>
      <c r="B37" t="str">
        <f>VLOOKUP($A37,articles_2026_01_26!$A$2:$U$737,11,FALSE)</f>
        <v>Cvitanovic, C. and Hobday, A.J. and Van Kerkhoff, L. and Marshall, N.A.</v>
      </c>
      <c r="C37">
        <f>VLOOKUP($A37,articles_2026_01_26!$A$2:$U$737,3,FALSE)</f>
        <v>2015</v>
      </c>
      <c r="D37" t="str">
        <f>VLOOKUP($A37,articles_2026_01_26!$A$2:$U$737,2,FALSE)</f>
        <v>Overcoming barriers to knowledge exchange for adaptive resource management; the perspectives of Australian marine scientists</v>
      </c>
      <c r="E37" t="str">
        <f>VLOOKUP($A37,articles_2026_01_26!$A$2:$U$737,6,FALSE)</f>
        <v>Marine Policy</v>
      </c>
      <c r="F37">
        <f>VLOOKUP($A37,articles_2026_01_26!$A$2:$U$737,8,FALSE)</f>
        <v>52</v>
      </c>
      <c r="G37">
        <f>VLOOKUP($A37,articles_2026_01_26!$A$2:$U$737,9,FALSE)</f>
        <v>0</v>
      </c>
      <c r="H37" t="str">
        <f>VLOOKUP($A37,articles_2026_01_26!$A$2:$U$737,10,FALSE)</f>
        <v>38-44</v>
      </c>
      <c r="I37" t="str">
        <f>VLOOKUP($A37,articles_2026_01_26!$A$2:$U$737,18,FALSE)</f>
        <v>10.1016/j.marpol.2014.10.026</v>
      </c>
    </row>
    <row r="38" spans="1:9" x14ac:dyDescent="0.25">
      <c r="A38" t="s">
        <v>3790</v>
      </c>
      <c r="B38" t="str">
        <f>VLOOKUP($A38,articles_2026_01_26!$A$2:$U$737,11,FALSE)</f>
        <v>Gaebel, C. and Novo, P. and Johnson, D.E. and Roberts, J.M.</v>
      </c>
      <c r="C38">
        <f>VLOOKUP($A38,articles_2026_01_26!$A$2:$U$737,3,FALSE)</f>
        <v>2024</v>
      </c>
      <c r="D38" t="str">
        <f>VLOOKUP($A38,articles_2026_01_26!$A$2:$U$737,2,FALSE)</f>
        <v>Institutionalising science and knowledge under the agreement for the conservation and sustainable use of marine biodiversity of areas beyond national jurisdiction (BBNJ): Stakeholder perspectives on a fit-for-purpose Scientific and Technical Body</v>
      </c>
      <c r="E38" t="str">
        <f>VLOOKUP($A38,articles_2026_01_26!$A$2:$U$737,6,FALSE)</f>
        <v>Marine Policy</v>
      </c>
      <c r="F38">
        <f>VLOOKUP($A38,articles_2026_01_26!$A$2:$U$737,8,FALSE)</f>
        <v>161</v>
      </c>
      <c r="G38">
        <f>VLOOKUP($A38,articles_2026_01_26!$A$2:$U$737,9,FALSE)</f>
        <v>0</v>
      </c>
      <c r="H38">
        <f>VLOOKUP($A38,articles_2026_01_26!$A$2:$U$737,10,FALSE)</f>
        <v>0</v>
      </c>
      <c r="I38" t="str">
        <f>VLOOKUP($A38,articles_2026_01_26!$A$2:$U$737,18,FALSE)</f>
        <v>10.1016/j.marpol.2023.105998</v>
      </c>
    </row>
    <row r="39" spans="1:9" x14ac:dyDescent="0.25">
      <c r="A39" t="s">
        <v>3876</v>
      </c>
      <c r="B39" t="str">
        <f>VLOOKUP($A39,articles_2026_01_26!$A$2:$U$737,11,FALSE)</f>
        <v>RodrÃ­guez-RodrÃ­guez, D. and MartÃ­nez-Vega, J. and Tempesta, M. and Otero-Villanueva, M.M.</v>
      </c>
      <c r="C39">
        <f>VLOOKUP($A39,articles_2026_01_26!$A$2:$U$737,3,FALSE)</f>
        <v>2015</v>
      </c>
      <c r="D39" t="str">
        <f>VLOOKUP($A39,articles_2026_01_26!$A$2:$U$737,2,FALSE)</f>
        <v>Limited uptake of protected area evaluation systems among managers and decision-makers in Spain and the Mediterranean Sea</v>
      </c>
      <c r="E39" t="str">
        <f>VLOOKUP($A39,articles_2026_01_26!$A$2:$U$737,6,FALSE)</f>
        <v>Environmental Conservation</v>
      </c>
      <c r="F39">
        <f>VLOOKUP($A39,articles_2026_01_26!$A$2:$U$737,8,FALSE)</f>
        <v>42</v>
      </c>
      <c r="G39">
        <f>VLOOKUP($A39,articles_2026_01_26!$A$2:$U$737,9,FALSE)</f>
        <v>3</v>
      </c>
      <c r="H39" t="str">
        <f>VLOOKUP($A39,articles_2026_01_26!$A$2:$U$737,10,FALSE)</f>
        <v>237-245</v>
      </c>
      <c r="I39" t="str">
        <f>VLOOKUP($A39,articles_2026_01_26!$A$2:$U$737,18,FALSE)</f>
        <v>10.1017/S0376892915000065</v>
      </c>
    </row>
    <row r="40" spans="1:9" x14ac:dyDescent="0.25">
      <c r="A40" t="s">
        <v>356</v>
      </c>
      <c r="B40" t="str">
        <f>VLOOKUP($A40,articles_2026_01_26!$A$2:$U$737,11,FALSE)</f>
        <v>Zwirowicz-Rutkowska A and Michalik A</v>
      </c>
      <c r="C40">
        <f>VLOOKUP($A40,articles_2026_01_26!$A$2:$U$737,3,FALSE)</f>
        <v>2016</v>
      </c>
      <c r="D40" t="str">
        <f>VLOOKUP($A40,articles_2026_01_26!$A$2:$U$737,2,FALSE)</f>
        <v>The Use of Spatial Data Infrastructure in Environmental Management:an Example from the Spatial Planning Practice in Poland</v>
      </c>
      <c r="E40" t="str">
        <f>VLOOKUP($A40,articles_2026_01_26!$A$2:$U$737,6,FALSE)</f>
        <v>Environmental Management</v>
      </c>
      <c r="F40">
        <f>VLOOKUP($A40,articles_2026_01_26!$A$2:$U$737,8,FALSE)</f>
        <v>58</v>
      </c>
      <c r="G40">
        <f>VLOOKUP($A40,articles_2026_01_26!$A$2:$U$737,9,FALSE)</f>
        <v>4</v>
      </c>
      <c r="H40" t="str">
        <f>VLOOKUP($A40,articles_2026_01_26!$A$2:$U$737,10,FALSE)</f>
        <v>619-635</v>
      </c>
      <c r="I40">
        <f>VLOOKUP($A40,articles_2026_01_26!$A$2:$U$737,18,FALSE)</f>
        <v>0</v>
      </c>
    </row>
    <row r="41" spans="1:9" x14ac:dyDescent="0.25">
      <c r="A41" t="s">
        <v>473</v>
      </c>
      <c r="B41" t="str">
        <f>VLOOKUP($A41,articles_2026_01_26!$A$2:$U$737,11,FALSE)</f>
        <v>Trop T</v>
      </c>
      <c r="C41">
        <f>VLOOKUP($A41,articles_2026_01_26!$A$2:$U$737,3,FALSE)</f>
        <v>2017</v>
      </c>
      <c r="D41" t="str">
        <f>VLOOKUP($A41,articles_2026_01_26!$A$2:$U$737,2,FALSE)</f>
        <v>From knowledge to action: Bridging the gaps toward effective incorporation of Landscape Character Assessment approach in land-use planning and management in Israel</v>
      </c>
      <c r="E41" t="str">
        <f>VLOOKUP($A41,articles_2026_01_26!$A$2:$U$737,6,FALSE)</f>
        <v>Land Use Policy</v>
      </c>
      <c r="F41">
        <f>VLOOKUP($A41,articles_2026_01_26!$A$2:$U$737,8,FALSE)</f>
        <v>61</v>
      </c>
      <c r="G41">
        <f>VLOOKUP($A41,articles_2026_01_26!$A$2:$U$737,9,FALSE)</f>
        <v>0</v>
      </c>
      <c r="H41" t="str">
        <f>VLOOKUP($A41,articles_2026_01_26!$A$2:$U$737,10,FALSE)</f>
        <v>220-230</v>
      </c>
      <c r="I41" t="str">
        <f>VLOOKUP($A41,articles_2026_01_26!$A$2:$U$737,18,FALSE)</f>
        <v>10.1016/j.landusepol.2016.10.052</v>
      </c>
    </row>
    <row r="42" spans="1:9" x14ac:dyDescent="0.25">
      <c r="A42" t="s">
        <v>497</v>
      </c>
      <c r="B42" t="str">
        <f>VLOOKUP($A42,articles_2026_01_26!$A$2:$U$737,11,FALSE)</f>
        <v>Sutton A M and Rudd M A</v>
      </c>
      <c r="C42">
        <f>VLOOKUP($A42,articles_2026_01_26!$A$2:$U$737,3,FALSE)</f>
        <v>2016</v>
      </c>
      <c r="D42" t="str">
        <f>VLOOKUP($A42,articles_2026_01_26!$A$2:$U$737,2,FALSE)</f>
        <v>Crossing Science-Policy-Societal Boundaries to Reduce Scientific and Institutional Uncertainty in Small-Scale Fisheries</v>
      </c>
      <c r="E42" t="str">
        <f>VLOOKUP($A42,articles_2026_01_26!$A$2:$U$737,6,FALSE)</f>
        <v>Environmental Management</v>
      </c>
      <c r="F42">
        <f>VLOOKUP($A42,articles_2026_01_26!$A$2:$U$737,8,FALSE)</f>
        <v>58</v>
      </c>
      <c r="G42">
        <f>VLOOKUP($A42,articles_2026_01_26!$A$2:$U$737,9,FALSE)</f>
        <v>4</v>
      </c>
      <c r="H42" t="str">
        <f>VLOOKUP($A42,articles_2026_01_26!$A$2:$U$737,10,FALSE)</f>
        <v>565-584</v>
      </c>
      <c r="I42" t="str">
        <f>VLOOKUP($A42,articles_2026_01_26!$A$2:$U$737,18,FALSE)</f>
        <v>10.1007/s00267-016-0737-8</v>
      </c>
    </row>
    <row r="43" spans="1:9" x14ac:dyDescent="0.25">
      <c r="A43" t="s">
        <v>539</v>
      </c>
      <c r="B43" t="str">
        <f>VLOOKUP($A43,articles_2026_01_26!$A$2:$U$737,11,FALSE)</f>
        <v>Stens A and Roberge J M and Lofmarck E and Lindahl K B and Felton A and Widmark C and Rist L and Johansson J and Nordin A and Nilsson U and Laudon H and Ranius T</v>
      </c>
      <c r="C43">
        <f>VLOOKUP($A43,articles_2026_01_26!$A$2:$U$737,3,FALSE)</f>
        <v>2019</v>
      </c>
      <c r="D43" t="str">
        <f>VLOOKUP($A43,articles_2026_01_26!$A$2:$U$737,2,FALSE)</f>
        <v>From ecological knowledge to conservation policy: a case study on green tree retention and continuous-cover forestry in Sweden</v>
      </c>
      <c r="E43" t="str">
        <f>VLOOKUP($A43,articles_2026_01_26!$A$2:$U$737,6,FALSE)</f>
        <v>Biodiversity and Conservation</v>
      </c>
      <c r="F43">
        <f>VLOOKUP($A43,articles_2026_01_26!$A$2:$U$737,8,FALSE)</f>
        <v>28</v>
      </c>
      <c r="G43">
        <f>VLOOKUP($A43,articles_2026_01_26!$A$2:$U$737,9,FALSE)</f>
        <v>13</v>
      </c>
      <c r="H43" t="str">
        <f>VLOOKUP($A43,articles_2026_01_26!$A$2:$U$737,10,FALSE)</f>
        <v>3547-3574</v>
      </c>
      <c r="I43" t="str">
        <f>VLOOKUP($A43,articles_2026_01_26!$A$2:$U$737,18,FALSE)</f>
        <v>10.1007/s10531-019-01836-2</v>
      </c>
    </row>
    <row r="44" spans="1:9" x14ac:dyDescent="0.25">
      <c r="A44" t="s">
        <v>559</v>
      </c>
      <c r="B44" t="str">
        <f>VLOOKUP($A44,articles_2026_01_26!$A$2:$U$737,11,FALSE)</f>
        <v>Salomaa A and Paloniemi R and Hujala T and Rantala S and Arponen A and Niemela J</v>
      </c>
      <c r="C44">
        <f>VLOOKUP($A44,articles_2026_01_26!$A$2:$U$737,3,FALSE)</f>
        <v>2016</v>
      </c>
      <c r="D44" t="str">
        <f>VLOOKUP($A44,articles_2026_01_26!$A$2:$U$737,2,FALSE)</f>
        <v>The use of knowledge in evidence-informed voluntary conservation of Finnish forests</v>
      </c>
      <c r="E44" t="str">
        <f>VLOOKUP($A44,articles_2026_01_26!$A$2:$U$737,6,FALSE)</f>
        <v>Forest Policy and Economics</v>
      </c>
      <c r="F44">
        <f>VLOOKUP($A44,articles_2026_01_26!$A$2:$U$737,8,FALSE)</f>
        <v>73</v>
      </c>
      <c r="G44">
        <f>VLOOKUP($A44,articles_2026_01_26!$A$2:$U$737,9,FALSE)</f>
        <v>0</v>
      </c>
      <c r="H44" t="str">
        <f>VLOOKUP($A44,articles_2026_01_26!$A$2:$U$737,10,FALSE)</f>
        <v>90-98</v>
      </c>
      <c r="I44" t="str">
        <f>VLOOKUP($A44,articles_2026_01_26!$A$2:$U$737,18,FALSE)</f>
        <v>10.1016/j.forpol.2016.09.004</v>
      </c>
    </row>
    <row r="45" spans="1:9" x14ac:dyDescent="0.25">
      <c r="A45" t="s">
        <v>592</v>
      </c>
      <c r="B45" t="str">
        <f>VLOOKUP($A45,articles_2026_01_26!$A$2:$U$737,11,FALSE)</f>
        <v>Raum S and Hand K L and Hall C and Edwards D M and O'Brien L and Doick K J</v>
      </c>
      <c r="C45">
        <f>VLOOKUP($A45,articles_2026_01_26!$A$2:$U$737,3,FALSE)</f>
        <v>2019</v>
      </c>
      <c r="D45" t="str">
        <f>VLOOKUP($A45,articles_2026_01_26!$A$2:$U$737,2,FALSE)</f>
        <v>Achieving impact from ecosystem assessment and valuation of urban greenspace: The case of i-Tree Eco in Great Britain</v>
      </c>
      <c r="E45" t="str">
        <f>VLOOKUP($A45,articles_2026_01_26!$A$2:$U$737,6,FALSE)</f>
        <v>Landscape and Urban Planning</v>
      </c>
      <c r="F45">
        <f>VLOOKUP($A45,articles_2026_01_26!$A$2:$U$737,8,FALSE)</f>
        <v>190</v>
      </c>
      <c r="G45">
        <f>VLOOKUP($A45,articles_2026_01_26!$A$2:$U$737,9,FALSE)</f>
        <v>0</v>
      </c>
      <c r="H45">
        <f>VLOOKUP($A45,articles_2026_01_26!$A$2:$U$737,10,FALSE)</f>
        <v>0</v>
      </c>
      <c r="I45" t="str">
        <f>VLOOKUP($A45,articles_2026_01_26!$A$2:$U$737,18,FALSE)</f>
        <v>10.1016/j.landurbplan.2019.103590</v>
      </c>
    </row>
    <row r="46" spans="1:9" x14ac:dyDescent="0.25">
      <c r="A46" t="s">
        <v>600</v>
      </c>
      <c r="B46" t="str">
        <f>VLOOKUP($A46,articles_2026_01_26!$A$2:$U$737,11,FALSE)</f>
        <v>Rasmussen Laura and Kirchhoff Christine and Lemos Maria</v>
      </c>
      <c r="C46">
        <f>VLOOKUP($A46,articles_2026_01_26!$A$2:$U$737,3,FALSE)</f>
        <v>2017</v>
      </c>
      <c r="D46" t="str">
        <f>VLOOKUP($A46,articles_2026_01_26!$A$2:$U$737,2,FALSE)</f>
        <v>Adaptation by stealth: climate information use in the Great Lakes region across scales</v>
      </c>
      <c r="E46" t="str">
        <f>VLOOKUP($A46,articles_2026_01_26!$A$2:$U$737,6,FALSE)</f>
        <v>Climatic Change</v>
      </c>
      <c r="F46">
        <f>VLOOKUP($A46,articles_2026_01_26!$A$2:$U$737,8,FALSE)</f>
        <v>140</v>
      </c>
      <c r="G46">
        <f>VLOOKUP($A46,articles_2026_01_26!$A$2:$U$737,9,FALSE)</f>
        <v>3</v>
      </c>
      <c r="H46" t="str">
        <f>VLOOKUP($A46,articles_2026_01_26!$A$2:$U$737,10,FALSE)</f>
        <v>451-465</v>
      </c>
      <c r="I46" t="str">
        <f>VLOOKUP($A46,articles_2026_01_26!$A$2:$U$737,18,FALSE)</f>
        <v>10.1007/s10584-016-1857-0</v>
      </c>
    </row>
    <row r="47" spans="1:9" x14ac:dyDescent="0.25">
      <c r="A47" t="s">
        <v>623</v>
      </c>
      <c r="B47" t="str">
        <f>VLOOKUP($A47,articles_2026_01_26!$A$2:$U$737,11,FALSE)</f>
        <v>Ranjan P and Duriancik L F and Moriasi D N and Carlson D and Anderson K and Prokopy L S</v>
      </c>
      <c r="C47">
        <f>VLOOKUP($A47,articles_2026_01_26!$A$2:$U$737,3,FALSE)</f>
        <v>2020</v>
      </c>
      <c r="D47" t="str">
        <f>VLOOKUP($A47,articles_2026_01_26!$A$2:$U$737,2,FALSE)</f>
        <v>Understanding the use of decision support tools by conservation professionals and their education and training needs: An application of the Reasoned Action Approach</v>
      </c>
      <c r="E47" t="str">
        <f>VLOOKUP($A47,articles_2026_01_26!$A$2:$U$737,6,FALSE)</f>
        <v>Journal of Soil &amp; Water Conservation</v>
      </c>
      <c r="F47">
        <f>VLOOKUP($A47,articles_2026_01_26!$A$2:$U$737,8,FALSE)</f>
        <v>75</v>
      </c>
      <c r="G47">
        <f>VLOOKUP($A47,articles_2026_01_26!$A$2:$U$737,9,FALSE)</f>
        <v>3</v>
      </c>
      <c r="H47" t="str">
        <f>VLOOKUP($A47,articles_2026_01_26!$A$2:$U$737,10,FALSE)</f>
        <v>387-399</v>
      </c>
      <c r="I47" t="str">
        <f>VLOOKUP($A47,articles_2026_01_26!$A$2:$U$737,18,FALSE)</f>
        <v>10.2489/jswc.75.3.387</v>
      </c>
    </row>
    <row r="48" spans="1:9" x14ac:dyDescent="0.25">
      <c r="A48" t="s">
        <v>668</v>
      </c>
      <c r="B48" t="str">
        <f>VLOOKUP($A48,articles_2026_01_26!$A$2:$U$737,11,FALSE)</f>
        <v>Peters Casey B and Schwartz Mark W and Lubell Mark N</v>
      </c>
      <c r="C48">
        <f>VLOOKUP($A48,articles_2026_01_26!$A$2:$U$737,3,FALSE)</f>
        <v>2018</v>
      </c>
      <c r="D48" t="str">
        <f>VLOOKUP($A48,articles_2026_01_26!$A$2:$U$737,2,FALSE)</f>
        <v>Identifying climate risk perceptions, information needs, and barriers to information exchange among public land managers</v>
      </c>
      <c r="E48" t="str">
        <f>VLOOKUP($A48,articles_2026_01_26!$A$2:$U$737,6,FALSE)</f>
        <v>Science of the Total Environment</v>
      </c>
      <c r="F48">
        <f>VLOOKUP($A48,articles_2026_01_26!$A$2:$U$737,8,FALSE)</f>
        <v>616</v>
      </c>
      <c r="G48">
        <f>VLOOKUP($A48,articles_2026_01_26!$A$2:$U$737,9,FALSE)</f>
        <v>0</v>
      </c>
      <c r="H48" t="str">
        <f>VLOOKUP($A48,articles_2026_01_26!$A$2:$U$737,10,FALSE)</f>
        <v>245-254</v>
      </c>
      <c r="I48" t="str">
        <f>VLOOKUP($A48,articles_2026_01_26!$A$2:$U$737,18,FALSE)</f>
        <v>10.1016/j.scitotenv.2017.11.015</v>
      </c>
    </row>
    <row r="49" spans="1:9" x14ac:dyDescent="0.25">
      <c r="A49" t="s">
        <v>693</v>
      </c>
      <c r="B49" t="str">
        <f>VLOOKUP($A49,articles_2026_01_26!$A$2:$U$737,11,FALSE)</f>
        <v>O'Connor R A and Nel J L and Roux D J and Lim-Camacho L and van Kerkhoff L and Leach J</v>
      </c>
      <c r="C49">
        <f>VLOOKUP($A49,articles_2026_01_26!$A$2:$U$737,3,FALSE)</f>
        <v>2019</v>
      </c>
      <c r="D49" t="str">
        <f>VLOOKUP($A49,articles_2026_01_26!$A$2:$U$737,2,FALSE)</f>
        <v>Principles for evaluating knowledge co-production in natural resource management: Incorporating decision-maker values</v>
      </c>
      <c r="E49" t="str">
        <f>VLOOKUP($A49,articles_2026_01_26!$A$2:$U$737,6,FALSE)</f>
        <v>Journal of Environmental Management</v>
      </c>
      <c r="F49">
        <f>VLOOKUP($A49,articles_2026_01_26!$A$2:$U$737,8,FALSE)</f>
        <v>249</v>
      </c>
      <c r="G49">
        <f>VLOOKUP($A49,articles_2026_01_26!$A$2:$U$737,9,FALSE)</f>
        <v>0</v>
      </c>
      <c r="H49" t="str">
        <f>VLOOKUP($A49,articles_2026_01_26!$A$2:$U$737,10,FALSE)</f>
        <v>109392-109392</v>
      </c>
      <c r="I49">
        <f>VLOOKUP($A49,articles_2026_01_26!$A$2:$U$737,18,FALSE)</f>
        <v>0</v>
      </c>
    </row>
    <row r="50" spans="1:9" x14ac:dyDescent="0.25">
      <c r="A50" t="s">
        <v>830</v>
      </c>
      <c r="B50" t="str">
        <f>VLOOKUP($A50,articles_2026_01_26!$A$2:$U$737,11,FALSE)</f>
        <v>Koontz T M</v>
      </c>
      <c r="C50">
        <f>VLOOKUP($A50,articles_2026_01_26!$A$2:$U$737,3,FALSE)</f>
        <v>2019</v>
      </c>
      <c r="D50" t="str">
        <f>VLOOKUP($A50,articles_2026_01_26!$A$2:$U$737,2,FALSE)</f>
        <v>The SciencePolicy Nexus in Collaborative Governance: Use of Science in Ecosystem Recovery Planning</v>
      </c>
      <c r="E50" t="str">
        <f>VLOOKUP($A50,articles_2026_01_26!$A$2:$U$737,6,FALSE)</f>
        <v>Review of Policy Research</v>
      </c>
      <c r="F50">
        <f>VLOOKUP($A50,articles_2026_01_26!$A$2:$U$737,8,FALSE)</f>
        <v>0</v>
      </c>
      <c r="G50">
        <f>VLOOKUP($A50,articles_2026_01_26!$A$2:$U$737,9,FALSE)</f>
        <v>0</v>
      </c>
      <c r="H50">
        <f>VLOOKUP($A50,articles_2026_01_26!$A$2:$U$737,10,FALSE)</f>
        <v>0</v>
      </c>
      <c r="I50" t="str">
        <f>VLOOKUP($A50,articles_2026_01_26!$A$2:$U$737,18,FALSE)</f>
        <v>10.1111/ropr.12362</v>
      </c>
    </row>
    <row r="51" spans="1:9" x14ac:dyDescent="0.25">
      <c r="A51" t="s">
        <v>482</v>
      </c>
      <c r="B51" t="str">
        <f>VLOOKUP($A51,articles_2026_01_26!$A$2:$U$737,11,FALSE)</f>
        <v>Thomas-Walters L and Nyboer E A and Taylor J J and Rytwinski T and Lane J F and Young N and Bennett J R and Nguyen V M and Harron N and Aitken S M and Auld G and Browne D and Jacob A L and Prior K and Smith P A and Smokorowski K E and Alexander S M and Cooke S J</v>
      </c>
      <c r="C51">
        <f>VLOOKUP($A51,articles_2026_01_26!$A$2:$U$737,3,FALSE)</f>
        <v>2021</v>
      </c>
      <c r="D51" t="str">
        <f>VLOOKUP($A51,articles_2026_01_26!$A$2:$U$737,2,FALSE)</f>
        <v>An optimistic outlook on the use of evidence syntheses to inform environmental decision-making</v>
      </c>
      <c r="E51" t="str">
        <f>VLOOKUP($A51,articles_2026_01_26!$A$2:$U$737,6,FALSE)</f>
        <v>Conservation Science and Practice</v>
      </c>
      <c r="F51">
        <f>VLOOKUP($A51,articles_2026_01_26!$A$2:$U$737,8,FALSE)</f>
        <v>3</v>
      </c>
      <c r="G51">
        <f>VLOOKUP($A51,articles_2026_01_26!$A$2:$U$737,9,FALSE)</f>
        <v>6</v>
      </c>
      <c r="H51">
        <f>VLOOKUP($A51,articles_2026_01_26!$A$2:$U$737,10,FALSE)</f>
        <v>0</v>
      </c>
      <c r="I51" t="str">
        <f>VLOOKUP($A51,articles_2026_01_26!$A$2:$U$737,18,FALSE)</f>
        <v>10.1111/csp2.426</v>
      </c>
    </row>
    <row r="52" spans="1:9" x14ac:dyDescent="0.25">
      <c r="A52" t="s">
        <v>725</v>
      </c>
      <c r="B52" t="str">
        <f>VLOOKUP($A52,articles_2026_01_26!$A$2:$U$737,11,FALSE)</f>
        <v>Munera C and van Kerkhoff L</v>
      </c>
      <c r="C52">
        <f>VLOOKUP($A52,articles_2026_01_26!$A$2:$U$737,3,FALSE)</f>
        <v>2019</v>
      </c>
      <c r="D52" t="str">
        <f>VLOOKUP($A52,articles_2026_01_26!$A$2:$U$737,2,FALSE)</f>
        <v>Diversifying knowledge governance for climate adaptation in protected areas in Colombia</v>
      </c>
      <c r="E52" t="str">
        <f>VLOOKUP($A52,articles_2026_01_26!$A$2:$U$737,6,FALSE)</f>
        <v>Environmental Science and Policy</v>
      </c>
      <c r="F52">
        <f>VLOOKUP($A52,articles_2026_01_26!$A$2:$U$737,8,FALSE)</f>
        <v>94</v>
      </c>
      <c r="G52">
        <f>VLOOKUP($A52,articles_2026_01_26!$A$2:$U$737,9,FALSE)</f>
        <v>0</v>
      </c>
      <c r="H52" t="str">
        <f>VLOOKUP($A52,articles_2026_01_26!$A$2:$U$737,10,FALSE)</f>
        <v>39-48</v>
      </c>
      <c r="I52">
        <f>VLOOKUP($A52,articles_2026_01_26!$A$2:$U$737,18,FALSE)</f>
        <v>0</v>
      </c>
    </row>
    <row r="53" spans="1:9" x14ac:dyDescent="0.25">
      <c r="A53" t="s">
        <v>838</v>
      </c>
      <c r="B53" t="str">
        <f>VLOOKUP($A53,articles_2026_01_26!$A$2:$U$737,11,FALSE)</f>
        <v>Koontz T M and Thomas C W</v>
      </c>
      <c r="C53">
        <f>VLOOKUP($A53,articles_2026_01_26!$A$2:$U$737,3,FALSE)</f>
        <v>2018</v>
      </c>
      <c r="D53" t="str">
        <f>VLOOKUP($A53,articles_2026_01_26!$A$2:$U$737,2,FALSE)</f>
        <v>Use of science in collaborative environmental management: Evidence from local watershed partnerships in the Puget Sound</v>
      </c>
      <c r="E53" t="str">
        <f>VLOOKUP($A53,articles_2026_01_26!$A$2:$U$737,6,FALSE)</f>
        <v>Environmental Science and Policy</v>
      </c>
      <c r="F53">
        <f>VLOOKUP($A53,articles_2026_01_26!$A$2:$U$737,8,FALSE)</f>
        <v>88</v>
      </c>
      <c r="G53">
        <f>VLOOKUP($A53,articles_2026_01_26!$A$2:$U$737,9,FALSE)</f>
        <v>0</v>
      </c>
      <c r="H53" t="str">
        <f>VLOOKUP($A53,articles_2026_01_26!$A$2:$U$737,10,FALSE)</f>
        <v>17-23</v>
      </c>
      <c r="I53">
        <f>VLOOKUP($A53,articles_2026_01_26!$A$2:$U$737,18,FALSE)</f>
        <v>0</v>
      </c>
    </row>
    <row r="54" spans="1:9" x14ac:dyDescent="0.25">
      <c r="A54" t="s">
        <v>872</v>
      </c>
      <c r="B54" t="str">
        <f>VLOOKUP($A54,articles_2026_01_26!$A$2:$U$737,11,FALSE)</f>
        <v>Jacaban E and Rytwinski T and Taylor J J and Young N and Nguyen V M and Cooke S J</v>
      </c>
      <c r="C54">
        <f>VLOOKUP($A54,articles_2026_01_26!$A$2:$U$737,3,FALSE)</f>
        <v>2022</v>
      </c>
      <c r="D54" t="str">
        <f>VLOOKUP($A54,articles_2026_01_26!$A$2:$U$737,2,FALSE)</f>
        <v>Do environmental systematic reviews impact policy and practice? Author perspectives on the application of their work</v>
      </c>
      <c r="E54" t="str">
        <f>VLOOKUP($A54,articles_2026_01_26!$A$2:$U$737,6,FALSE)</f>
        <v>Environmental Science and Policy</v>
      </c>
      <c r="F54">
        <f>VLOOKUP($A54,articles_2026_01_26!$A$2:$U$737,8,FALSE)</f>
        <v>129</v>
      </c>
      <c r="G54">
        <f>VLOOKUP($A54,articles_2026_01_26!$A$2:$U$737,9,FALSE)</f>
        <v>0</v>
      </c>
      <c r="H54" t="str">
        <f>VLOOKUP($A54,articles_2026_01_26!$A$2:$U$737,10,FALSE)</f>
        <v>159-167</v>
      </c>
      <c r="I54">
        <f>VLOOKUP($A54,articles_2026_01_26!$A$2:$U$737,18,FALSE)</f>
        <v>0</v>
      </c>
    </row>
    <row r="55" spans="1:9" x14ac:dyDescent="0.25">
      <c r="A55" t="s">
        <v>887</v>
      </c>
      <c r="B55" t="str">
        <f>VLOOKUP($A55,articles_2026_01_26!$A$2:$U$737,11,FALSE)</f>
        <v>Heck Nadine and Stedman Richard C and Gaden Marc</v>
      </c>
      <c r="C55">
        <f>VLOOKUP($A55,articles_2026_01_26!$A$2:$U$737,3,FALSE)</f>
        <v>2015</v>
      </c>
      <c r="D55" t="str">
        <f>VLOOKUP($A55,articles_2026_01_26!$A$2:$U$737,2,FALSE)</f>
        <v>The integration of social science information into Great Lakes fishery management: Opportunities and challenges</v>
      </c>
      <c r="E55" t="str">
        <f>VLOOKUP($A55,articles_2026_01_26!$A$2:$U$737,6,FALSE)</f>
        <v>Fisheries Research</v>
      </c>
      <c r="F55">
        <f>VLOOKUP($A55,articles_2026_01_26!$A$2:$U$737,8,FALSE)</f>
        <v>167</v>
      </c>
      <c r="G55">
        <f>VLOOKUP($A55,articles_2026_01_26!$A$2:$U$737,9,FALSE)</f>
        <v>0</v>
      </c>
      <c r="H55" t="str">
        <f>VLOOKUP($A55,articles_2026_01_26!$A$2:$U$737,10,FALSE)</f>
        <v>30-37</v>
      </c>
      <c r="I55" t="str">
        <f>VLOOKUP($A55,articles_2026_01_26!$A$2:$U$737,18,FALSE)</f>
        <v>10.1016/j.fishres.2015.01.008</v>
      </c>
    </row>
    <row r="56" spans="1:9" x14ac:dyDescent="0.25">
      <c r="A56" t="s">
        <v>939</v>
      </c>
      <c r="B56" t="str">
        <f>VLOOKUP($A56,articles_2026_01_26!$A$2:$U$737,11,FALSE)</f>
        <v>Funke N and Nienaber S</v>
      </c>
      <c r="C56">
        <f>VLOOKUP($A56,articles_2026_01_26!$A$2:$U$737,3,FALSE)</f>
        <v>2012</v>
      </c>
      <c r="D56" t="str">
        <f>VLOOKUP($A56,articles_2026_01_26!$A$2:$U$737,2,FALSE)</f>
        <v>Promoting uptake and use of conservation science in South Africa by government</v>
      </c>
      <c r="E56">
        <f>VLOOKUP($A56,articles_2026_01_26!$A$2:$U$737,6,FALSE)</f>
        <v>0</v>
      </c>
      <c r="F56">
        <f>VLOOKUP($A56,articles_2026_01_26!$A$2:$U$737,8,FALSE)</f>
        <v>38</v>
      </c>
      <c r="G56">
        <f>VLOOKUP($A56,articles_2026_01_26!$A$2:$U$737,9,FALSE)</f>
        <v>0</v>
      </c>
      <c r="H56" t="str">
        <f>VLOOKUP($A56,articles_2026_01_26!$A$2:$U$737,10,FALSE)</f>
        <v>105-113</v>
      </c>
      <c r="I56">
        <f>VLOOKUP($A56,articles_2026_01_26!$A$2:$U$737,18,FALSE)</f>
        <v>0</v>
      </c>
    </row>
    <row r="57" spans="1:9" x14ac:dyDescent="0.25">
      <c r="A57" t="s">
        <v>970</v>
      </c>
      <c r="B57" t="str">
        <f>VLOOKUP($A57,articles_2026_01_26!$A$2:$U$737,11,FALSE)</f>
        <v>Den Hoed D C and Murphy M N and Halpenny E A and Mucha D</v>
      </c>
      <c r="C57">
        <f>VLOOKUP($A57,articles_2026_01_26!$A$2:$U$737,3,FALSE)</f>
        <v>2020</v>
      </c>
      <c r="D57" t="str">
        <f>VLOOKUP($A57,articles_2026_01_26!$A$2:$U$737,2,FALSE)</f>
        <v>Grizzly Bear Management in the Kananaskis Valley: Forty Years of Figuring It Out</v>
      </c>
      <c r="E57" t="str">
        <f>VLOOKUP($A57,articles_2026_01_26!$A$2:$U$737,6,FALSE)</f>
        <v>Land</v>
      </c>
      <c r="F57">
        <f>VLOOKUP($A57,articles_2026_01_26!$A$2:$U$737,8,FALSE)</f>
        <v>9</v>
      </c>
      <c r="G57">
        <f>VLOOKUP($A57,articles_2026_01_26!$A$2:$U$737,9,FALSE)</f>
        <v>12</v>
      </c>
      <c r="H57">
        <f>VLOOKUP($A57,articles_2026_01_26!$A$2:$U$737,10,FALSE)</f>
        <v>0</v>
      </c>
      <c r="I57" t="str">
        <f>VLOOKUP($A57,articles_2026_01_26!$A$2:$U$737,18,FALSE)</f>
        <v>10.3390/land9120501</v>
      </c>
    </row>
    <row r="58" spans="1:9" x14ac:dyDescent="0.25">
      <c r="A58" t="s">
        <v>989</v>
      </c>
      <c r="B58" t="str">
        <f>VLOOKUP($A58,articles_2026_01_26!$A$2:$U$737,11,FALSE)</f>
        <v>Cvitanovic C and Lof M F and Norstrom A V and Reed M S</v>
      </c>
      <c r="C58">
        <f>VLOOKUP($A58,articles_2026_01_26!$A$2:$U$737,3,FALSE)</f>
        <v>2018</v>
      </c>
      <c r="D58" t="str">
        <f>VLOOKUP($A58,articles_2026_01_26!$A$2:$U$737,2,FALSE)</f>
        <v>Building university-based boundary organisations that facilitate impacts on environmental policy and practice</v>
      </c>
      <c r="E58" t="str">
        <f>VLOOKUP($A58,articles_2026_01_26!$A$2:$U$737,6,FALSE)</f>
        <v>PLoS ONE [Electronic Resource]</v>
      </c>
      <c r="F58">
        <f>VLOOKUP($A58,articles_2026_01_26!$A$2:$U$737,8,FALSE)</f>
        <v>13</v>
      </c>
      <c r="G58">
        <f>VLOOKUP($A58,articles_2026_01_26!$A$2:$U$737,9,FALSE)</f>
        <v>9</v>
      </c>
      <c r="H58" t="str">
        <f>VLOOKUP($A58,articles_2026_01_26!$A$2:$U$737,10,FALSE)</f>
        <v>e0203752-e0203752</v>
      </c>
      <c r="I58">
        <f>VLOOKUP($A58,articles_2026_01_26!$A$2:$U$737,18,FALSE)</f>
        <v>0</v>
      </c>
    </row>
    <row r="59" spans="1:9" x14ac:dyDescent="0.25">
      <c r="A59" t="s">
        <v>996</v>
      </c>
      <c r="B59" t="str">
        <f>VLOOKUP($A59,articles_2026_01_26!$A$2:$U$737,11,FALSE)</f>
        <v>Cvitanovic C and Cunningham R and Dowd A M and Howden S M and van Putten E I</v>
      </c>
      <c r="C59">
        <f>VLOOKUP($A59,articles_2026_01_26!$A$2:$U$737,3,FALSE)</f>
        <v>2017</v>
      </c>
      <c r="D59" t="str">
        <f>VLOOKUP($A59,articles_2026_01_26!$A$2:$U$737,2,FALSE)</f>
        <v>Using Social Network Analysis to Monitor and Assess the Effectiveness of Knowledge Brokers at Connecting Scientists and Decision-Makers: An Australian case study</v>
      </c>
      <c r="E59" t="str">
        <f>VLOOKUP($A59,articles_2026_01_26!$A$2:$U$737,6,FALSE)</f>
        <v>Environmental Policy and Governance</v>
      </c>
      <c r="F59">
        <f>VLOOKUP($A59,articles_2026_01_26!$A$2:$U$737,8,FALSE)</f>
        <v>27</v>
      </c>
      <c r="G59">
        <f>VLOOKUP($A59,articles_2026_01_26!$A$2:$U$737,9,FALSE)</f>
        <v>3</v>
      </c>
      <c r="H59" t="str">
        <f>VLOOKUP($A59,articles_2026_01_26!$A$2:$U$737,10,FALSE)</f>
        <v>256-269</v>
      </c>
      <c r="I59" t="str">
        <f>VLOOKUP($A59,articles_2026_01_26!$A$2:$U$737,18,FALSE)</f>
        <v>10.1002/eet.1752</v>
      </c>
    </row>
    <row r="60" spans="1:9" x14ac:dyDescent="0.25">
      <c r="A60" t="s">
        <v>1005</v>
      </c>
      <c r="B60" t="str">
        <f>VLOOKUP($A60,articles_2026_01_26!$A$2:$U$737,11,FALSE)</f>
        <v>CregÃ¥rd Anna and Sobis Iwona</v>
      </c>
      <c r="C60">
        <f>VLOOKUP($A60,articles_2026_01_26!$A$2:$U$737,3,FALSE)</f>
        <v>2017</v>
      </c>
      <c r="D60" t="str">
        <f>VLOOKUP($A60,articles_2026_01_26!$A$2:$U$737,2,FALSE)</f>
        <v>Dissemination of Environmental Information and its Effects on Stakeholders' Decision-Making: A Comparative Study between Swedish and Polish Municipalities</v>
      </c>
      <c r="E60" t="str">
        <f>VLOOKUP($A60,articles_2026_01_26!$A$2:$U$737,6,FALSE)</f>
        <v>NISPAcee Journal of Public Administration &amp; Policy</v>
      </c>
      <c r="F60">
        <f>VLOOKUP($A60,articles_2026_01_26!$A$2:$U$737,8,FALSE)</f>
        <v>10</v>
      </c>
      <c r="G60">
        <f>VLOOKUP($A60,articles_2026_01_26!$A$2:$U$737,9,FALSE)</f>
        <v>2</v>
      </c>
      <c r="H60">
        <f>VLOOKUP($A60,articles_2026_01_26!$A$2:$U$737,10,FALSE)</f>
        <v>17411</v>
      </c>
      <c r="I60" t="str">
        <f>VLOOKUP($A60,articles_2026_01_26!$A$2:$U$737,18,FALSE)</f>
        <v>10.1515/nispa-2017-0010</v>
      </c>
    </row>
    <row r="61" spans="1:9" x14ac:dyDescent="0.25">
      <c r="A61" t="s">
        <v>1020</v>
      </c>
      <c r="B61" t="str">
        <f>VLOOKUP($A61,articles_2026_01_26!$A$2:$U$737,11,FALSE)</f>
        <v>Colavito M M</v>
      </c>
      <c r="C61">
        <f>VLOOKUP($A61,articles_2026_01_26!$A$2:$U$737,3,FALSE)</f>
        <v>2017</v>
      </c>
      <c r="D61" t="str">
        <f>VLOOKUP($A61,articles_2026_01_26!$A$2:$U$737,2,FALSE)</f>
        <v>Utilising scientific information to support resilient forest and fire management</v>
      </c>
      <c r="E61" t="str">
        <f>VLOOKUP($A61,articles_2026_01_26!$A$2:$U$737,6,FALSE)</f>
        <v>International Journal of Wildland Fire</v>
      </c>
      <c r="F61">
        <f>VLOOKUP($A61,articles_2026_01_26!$A$2:$U$737,8,FALSE)</f>
        <v>26</v>
      </c>
      <c r="G61">
        <f>VLOOKUP($A61,articles_2026_01_26!$A$2:$U$737,9,FALSE)</f>
        <v>5</v>
      </c>
      <c r="H61" t="str">
        <f>VLOOKUP($A61,articles_2026_01_26!$A$2:$U$737,10,FALSE)</f>
        <v>375-383</v>
      </c>
      <c r="I61" t="str">
        <f>VLOOKUP($A61,articles_2026_01_26!$A$2:$U$737,18,FALSE)</f>
        <v>10.1071/wf16158</v>
      </c>
    </row>
    <row r="62" spans="1:9" x14ac:dyDescent="0.25">
      <c r="A62" t="s">
        <v>1037</v>
      </c>
      <c r="B62" t="str">
        <f>VLOOKUP($A62,articles_2026_01_26!$A$2:$U$737,11,FALSE)</f>
        <v>Caceres D M and Silvetti F and Diaz S</v>
      </c>
      <c r="C62">
        <f>VLOOKUP($A62,articles_2026_01_26!$A$2:$U$737,3,FALSE)</f>
        <v>2016</v>
      </c>
      <c r="D62" t="str">
        <f>VLOOKUP($A62,articles_2026_01_26!$A$2:$U$737,2,FALSE)</f>
        <v>The rocky path from policy-relevant science to policy implementation - a case study from the South American Chaco</v>
      </c>
      <c r="E62" t="str">
        <f>VLOOKUP($A62,articles_2026_01_26!$A$2:$U$737,6,FALSE)</f>
        <v>Current Opinion in Environmental Sustainability</v>
      </c>
      <c r="F62">
        <f>VLOOKUP($A62,articles_2026_01_26!$A$2:$U$737,8,FALSE)</f>
        <v>19</v>
      </c>
      <c r="G62">
        <f>VLOOKUP($A62,articles_2026_01_26!$A$2:$U$737,9,FALSE)</f>
        <v>0</v>
      </c>
      <c r="H62" t="str">
        <f>VLOOKUP($A62,articles_2026_01_26!$A$2:$U$737,10,FALSE)</f>
        <v>57-66</v>
      </c>
      <c r="I62" t="str">
        <f>VLOOKUP($A62,articles_2026_01_26!$A$2:$U$737,18,FALSE)</f>
        <v>10.1016/j.cosust.2015.12.003</v>
      </c>
    </row>
    <row r="63" spans="1:9" x14ac:dyDescent="0.25">
      <c r="A63" t="s">
        <v>1226</v>
      </c>
      <c r="B63" t="str">
        <f>VLOOKUP($A63,articles_2026_01_26!$A$2:$U$737,11,FALSE)</f>
        <v>Carneiro, M.J. and da-Silva-Rosa, T.</v>
      </c>
      <c r="C63">
        <f>VLOOKUP($A63,articles_2026_01_26!$A$2:$U$737,3,FALSE)</f>
        <v>2011</v>
      </c>
      <c r="D63" t="str">
        <f>VLOOKUP($A63,articles_2026_01_26!$A$2:$U$737,2,FALSE)</f>
        <v>The use of scientific knowledge in the decision making process of environmental public policies in Brazil</v>
      </c>
      <c r="E63" t="str">
        <f>VLOOKUP($A63,articles_2026_01_26!$A$2:$U$737,6,FALSE)</f>
        <v>Journal of Science Communication</v>
      </c>
      <c r="F63">
        <f>VLOOKUP($A63,articles_2026_01_26!$A$2:$U$737,8,FALSE)</f>
        <v>10</v>
      </c>
      <c r="G63">
        <f>VLOOKUP($A63,articles_2026_01_26!$A$2:$U$737,9,FALSE)</f>
        <v>1</v>
      </c>
      <c r="H63">
        <f>VLOOKUP($A63,articles_2026_01_26!$A$2:$U$737,10,FALSE)</f>
        <v>0</v>
      </c>
      <c r="I63" t="str">
        <f>VLOOKUP($A63,articles_2026_01_26!$A$2:$U$737,18,FALSE)</f>
        <v>10.22323/2.10010203</v>
      </c>
    </row>
    <row r="64" spans="1:9" x14ac:dyDescent="0.25">
      <c r="A64" t="s">
        <v>1307</v>
      </c>
      <c r="B64" t="str">
        <f>VLOOKUP($A64,articles_2026_01_26!$A$2:$U$737,11,FALSE)</f>
        <v>Nguyen, V.M. and Young, N. and Corriveau, M. and Hinch, S.G. and Cooke, S.J.</v>
      </c>
      <c r="C64">
        <f>VLOOKUP($A64,articles_2026_01_26!$A$2:$U$737,3,FALSE)</f>
        <v>2019</v>
      </c>
      <c r="D64" t="str">
        <f>VLOOKUP($A64,articles_2026_01_26!$A$2:$U$737,2,FALSE)</f>
        <v>What is â€œusableâ€ knowledge? Perceived barriers for integrating new knowledge into management of an iconic Canadian fishery</v>
      </c>
      <c r="E64" t="str">
        <f>VLOOKUP($A64,articles_2026_01_26!$A$2:$U$737,6,FALSE)</f>
        <v>Canadian Journal of Fisheries and Aquatic Sciences</v>
      </c>
      <c r="F64">
        <f>VLOOKUP($A64,articles_2026_01_26!$A$2:$U$737,8,FALSE)</f>
        <v>76</v>
      </c>
      <c r="G64">
        <f>VLOOKUP($A64,articles_2026_01_26!$A$2:$U$737,9,FALSE)</f>
        <v>3</v>
      </c>
      <c r="H64" t="str">
        <f>VLOOKUP($A64,articles_2026_01_26!$A$2:$U$737,10,FALSE)</f>
        <v>463-474</v>
      </c>
      <c r="I64" t="str">
        <f>VLOOKUP($A64,articles_2026_01_26!$A$2:$U$737,18,FALSE)</f>
        <v>10.1139/cjfas-2017-0305</v>
      </c>
    </row>
    <row r="65" spans="1:9" x14ac:dyDescent="0.25">
      <c r="A65" t="s">
        <v>1397</v>
      </c>
      <c r="B65" t="str">
        <f>VLOOKUP($A65,articles_2026_01_26!$A$2:$U$737,11,FALSE)</f>
        <v>Cvitanovic, C. and Shellock, R.J. and Karcher, D.B. and Tuohy, P. and Mackay, M. and van Putten, E.I. and Ballesteros, M. and Dickey-Collas, M.</v>
      </c>
      <c r="C65">
        <f>VLOOKUP($A65,articles_2026_01_26!$A$2:$U$737,3,FALSE)</f>
        <v>2024</v>
      </c>
      <c r="D65" t="str">
        <f>VLOOKUP($A65,articles_2026_01_26!$A$2:$U$737,2,FALSE)</f>
        <v>Navigating the stormy seas of building â€˜trustâ€™ as a boundary organisation connecting marine science with policy and management</v>
      </c>
      <c r="E65" t="str">
        <f>VLOOKUP($A65,articles_2026_01_26!$A$2:$U$737,6,FALSE)</f>
        <v>Ocean and Coastal Management</v>
      </c>
      <c r="F65">
        <f>VLOOKUP($A65,articles_2026_01_26!$A$2:$U$737,8,FALSE)</f>
        <v>248</v>
      </c>
      <c r="G65">
        <f>VLOOKUP($A65,articles_2026_01_26!$A$2:$U$737,9,FALSE)</f>
        <v>0</v>
      </c>
      <c r="H65">
        <f>VLOOKUP($A65,articles_2026_01_26!$A$2:$U$737,10,FALSE)</f>
        <v>0</v>
      </c>
      <c r="I65" t="str">
        <f>VLOOKUP($A65,articles_2026_01_26!$A$2:$U$737,18,FALSE)</f>
        <v>10.1016/j.ocecoaman.2023.106952</v>
      </c>
    </row>
    <row r="66" spans="1:9" x14ac:dyDescent="0.25">
      <c r="A66" t="s">
        <v>1404</v>
      </c>
      <c r="B66" t="str">
        <f>VLOOKUP($A66,articles_2026_01_26!$A$2:$U$737,11,FALSE)</f>
        <v>Andrachuk, M. and Kadykalo, A.N. and Cooke, S.J. and Young, N. and Nguyen, V.M.</v>
      </c>
      <c r="C66">
        <f>VLOOKUP($A66,articles_2026_01_26!$A$2:$U$737,3,FALSE)</f>
        <v>2021</v>
      </c>
      <c r="D66" t="str">
        <f>VLOOKUP($A66,articles_2026_01_26!$A$2:$U$737,2,FALSE)</f>
        <v>Fisheries knowledge exchange and mobilization through a network of policy and practice actors</v>
      </c>
      <c r="E66" t="str">
        <f>VLOOKUP($A66,articles_2026_01_26!$A$2:$U$737,6,FALSE)</f>
        <v>Environmental Science and Policy</v>
      </c>
      <c r="F66">
        <f>VLOOKUP($A66,articles_2026_01_26!$A$2:$U$737,8,FALSE)</f>
        <v>125</v>
      </c>
      <c r="G66">
        <f>VLOOKUP($A66,articles_2026_01_26!$A$2:$U$737,9,FALSE)</f>
        <v>0</v>
      </c>
      <c r="H66" t="str">
        <f>VLOOKUP($A66,articles_2026_01_26!$A$2:$U$737,10,FALSE)</f>
        <v>157-166</v>
      </c>
      <c r="I66" t="str">
        <f>VLOOKUP($A66,articles_2026_01_26!$A$2:$U$737,18,FALSE)</f>
        <v>10.1016/j.envsci.2021.08.023</v>
      </c>
    </row>
    <row r="67" spans="1:9" x14ac:dyDescent="0.25">
      <c r="A67" t="s">
        <v>1412</v>
      </c>
      <c r="B67" t="str">
        <f>VLOOKUP($A67,articles_2026_01_26!$A$2:$U$737,11,FALSE)</f>
        <v>Pellikka, J. and HiedanpÃ¤Ã¤, J.</v>
      </c>
      <c r="C67">
        <f>VLOOKUP($A67,articles_2026_01_26!$A$2:$U$737,3,FALSE)</f>
        <v>2017</v>
      </c>
      <c r="D67" t="str">
        <f>VLOOKUP($A67,articles_2026_01_26!$A$2:$U$737,2,FALSE)</f>
        <v>Looking for a common ground: Useful knowledge and adaptation in Wolf politics in southwestern Finland</v>
      </c>
      <c r="E67" t="str">
        <f>VLOOKUP($A67,articles_2026_01_26!$A$2:$U$737,6,FALSE)</f>
        <v>Wildlife Biology</v>
      </c>
      <c r="F67">
        <f>VLOOKUP($A67,articles_2026_01_26!$A$2:$U$737,8,FALSE)</f>
        <v>2017</v>
      </c>
      <c r="G67">
        <f>VLOOKUP($A67,articles_2026_01_26!$A$2:$U$737,9,FALSE)</f>
        <v>0</v>
      </c>
      <c r="H67">
        <f>VLOOKUP($A67,articles_2026_01_26!$A$2:$U$737,10,FALSE)</f>
        <v>0</v>
      </c>
      <c r="I67" t="str">
        <f>VLOOKUP($A67,articles_2026_01_26!$A$2:$U$737,18,FALSE)</f>
        <v>10.2981/wlb.00269</v>
      </c>
    </row>
    <row r="68" spans="1:9" x14ac:dyDescent="0.25">
      <c r="A68" t="s">
        <v>1459</v>
      </c>
      <c r="B68" t="str">
        <f>VLOOKUP($A68,articles_2026_01_26!$A$2:$U$737,11,FALSE)</f>
        <v>Walsh, J.C. and Dicks, L.V. and Sutherland, W.J.</v>
      </c>
      <c r="C68">
        <f>VLOOKUP($A68,articles_2026_01_26!$A$2:$U$737,3,FALSE)</f>
        <v>2015</v>
      </c>
      <c r="D68" t="str">
        <f>VLOOKUP($A68,articles_2026_01_26!$A$2:$U$737,2,FALSE)</f>
        <v>The effect of scientific evidence on conservation practitioners' management decisions</v>
      </c>
      <c r="E68" t="str">
        <f>VLOOKUP($A68,articles_2026_01_26!$A$2:$U$737,6,FALSE)</f>
        <v>Conservation Biology</v>
      </c>
      <c r="F68">
        <f>VLOOKUP($A68,articles_2026_01_26!$A$2:$U$737,8,FALSE)</f>
        <v>29</v>
      </c>
      <c r="G68">
        <f>VLOOKUP($A68,articles_2026_01_26!$A$2:$U$737,9,FALSE)</f>
        <v>1</v>
      </c>
      <c r="H68" t="str">
        <f>VLOOKUP($A68,articles_2026_01_26!$A$2:$U$737,10,FALSE)</f>
        <v>88-98</v>
      </c>
      <c r="I68" t="str">
        <f>VLOOKUP($A68,articles_2026_01_26!$A$2:$U$737,18,FALSE)</f>
        <v>10.1111/cobi.12370</v>
      </c>
    </row>
    <row r="69" spans="1:9" x14ac:dyDescent="0.25">
      <c r="A69" t="s">
        <v>1513</v>
      </c>
      <c r="B69" t="str">
        <f>VLOOKUP($A69,articles_2026_01_26!$A$2:$U$737,11,FALSE)</f>
        <v>de Vries, J.W. and Spijkerboer, R.C. and Zuidema, C.</v>
      </c>
      <c r="C69">
        <f>VLOOKUP($A69,articles_2026_01_26!$A$2:$U$737,3,FALSE)</f>
        <v>2024</v>
      </c>
      <c r="D69" t="str">
        <f>VLOOKUP($A69,articles_2026_01_26!$A$2:$U$737,2,FALSE)</f>
        <v>Making knowledge matter: Understanding and improving knowledge-integration in Dutch marine spatial planning policy</v>
      </c>
      <c r="E69" t="str">
        <f>VLOOKUP($A69,articles_2026_01_26!$A$2:$U$737,6,FALSE)</f>
        <v>Ocean and Coastal Management</v>
      </c>
      <c r="F69">
        <f>VLOOKUP($A69,articles_2026_01_26!$A$2:$U$737,8,FALSE)</f>
        <v>248</v>
      </c>
      <c r="G69">
        <f>VLOOKUP($A69,articles_2026_01_26!$A$2:$U$737,9,FALSE)</f>
        <v>0</v>
      </c>
      <c r="H69">
        <f>VLOOKUP($A69,articles_2026_01_26!$A$2:$U$737,10,FALSE)</f>
        <v>0</v>
      </c>
      <c r="I69" t="str">
        <f>VLOOKUP($A69,articles_2026_01_26!$A$2:$U$737,18,FALSE)</f>
        <v>10.1016/j.ocecoaman.2023.106928</v>
      </c>
    </row>
    <row r="70" spans="1:9" x14ac:dyDescent="0.25">
      <c r="A70" t="s">
        <v>1583</v>
      </c>
      <c r="B70" t="str">
        <f>VLOOKUP($A70,articles_2026_01_26!$A$2:$U$737,11,FALSE)</f>
        <v>Van Lanen, N.J. and Shyvers, J.E. and Tarbox, B.C. and Monroe, A.P. and Anderson, P.J. and Jones, D.K. and Dahm, K.G. and Aldridge, C.L.</v>
      </c>
      <c r="C70">
        <f>VLOOKUP($A70,articles_2026_01_26!$A$2:$U$737,3,FALSE)</f>
        <v>2024</v>
      </c>
      <c r="D70" t="str">
        <f>VLOOKUP($A70,articles_2026_01_26!$A$2:$U$737,2,FALSE)</f>
        <v>Think regionally, act locally: Perspectives on co-design of spatial conservation prioritization tools and why end-user engagement altered our approach</v>
      </c>
      <c r="E70" t="str">
        <f>VLOOKUP($A70,articles_2026_01_26!$A$2:$U$737,6,FALSE)</f>
        <v>Conservation Science and Practice</v>
      </c>
      <c r="F70">
        <f>VLOOKUP($A70,articles_2026_01_26!$A$2:$U$737,8,FALSE)</f>
        <v>6</v>
      </c>
      <c r="G70">
        <f>VLOOKUP($A70,articles_2026_01_26!$A$2:$U$737,9,FALSE)</f>
        <v>7</v>
      </c>
      <c r="H70">
        <f>VLOOKUP($A70,articles_2026_01_26!$A$2:$U$737,10,FALSE)</f>
        <v>0</v>
      </c>
      <c r="I70" t="str">
        <f>VLOOKUP($A70,articles_2026_01_26!$A$2:$U$737,18,FALSE)</f>
        <v>10.1111/csp2.13154</v>
      </c>
    </row>
    <row r="71" spans="1:9" x14ac:dyDescent="0.25">
      <c r="A71" t="s">
        <v>1684</v>
      </c>
      <c r="B71" t="str">
        <f>VLOOKUP($A71,articles_2026_01_26!$A$2:$U$737,11,FALSE)</f>
        <v>de Koning, J. and Turnhout, E. and Winkel, G. and Blondet, M. and Borras, L. and Ferranti, F. and Geitzenauer, M. and Sotirov, M. and Jump, A.</v>
      </c>
      <c r="C71">
        <f>VLOOKUP($A71,articles_2026_01_26!$A$2:$U$737,3,FALSE)</f>
        <v>2014</v>
      </c>
      <c r="D71" t="str">
        <f>VLOOKUP($A71,articles_2026_01_26!$A$2:$U$737,2,FALSE)</f>
        <v>Managing climate change in conservation practice: an exploration of the scienceâ€“management interface in beech forest management</v>
      </c>
      <c r="E71" t="str">
        <f>VLOOKUP($A71,articles_2026_01_26!$A$2:$U$737,6,FALSE)</f>
        <v>Biodiversity and Conservation</v>
      </c>
      <c r="F71">
        <f>VLOOKUP($A71,articles_2026_01_26!$A$2:$U$737,8,FALSE)</f>
        <v>23</v>
      </c>
      <c r="G71">
        <f>VLOOKUP($A71,articles_2026_01_26!$A$2:$U$737,9,FALSE)</f>
        <v>14</v>
      </c>
      <c r="H71" t="str">
        <f>VLOOKUP($A71,articles_2026_01_26!$A$2:$U$737,10,FALSE)</f>
        <v>3657-3671</v>
      </c>
      <c r="I71" t="str">
        <f>VLOOKUP($A71,articles_2026_01_26!$A$2:$U$737,18,FALSE)</f>
        <v>10.1007/s10531-014-0781-8</v>
      </c>
    </row>
    <row r="72" spans="1:9" x14ac:dyDescent="0.25">
      <c r="A72" t="s">
        <v>1786</v>
      </c>
      <c r="B72" t="str">
        <f>VLOOKUP($A72,articles_2026_01_26!$A$2:$U$737,11,FALSE)</f>
        <v>Young, N. and Corriveau, M. and Nguyen, V.M. and Cooke, S.J. and Hinch, S.G.</v>
      </c>
      <c r="C72">
        <f>VLOOKUP($A72,articles_2026_01_26!$A$2:$U$737,3,FALSE)</f>
        <v>2018</v>
      </c>
      <c r="D72" t="str">
        <f>VLOOKUP($A72,articles_2026_01_26!$A$2:$U$737,2,FALSE)</f>
        <v>Embracing Disruptive New Science? Biotelemetry Meets Co-Management in Canada's Fraser River</v>
      </c>
      <c r="E72" t="str">
        <f>VLOOKUP($A72,articles_2026_01_26!$A$2:$U$737,6,FALSE)</f>
        <v>Fisheries</v>
      </c>
      <c r="F72">
        <f>VLOOKUP($A72,articles_2026_01_26!$A$2:$U$737,8,FALSE)</f>
        <v>43</v>
      </c>
      <c r="G72">
        <f>VLOOKUP($A72,articles_2026_01_26!$A$2:$U$737,9,FALSE)</f>
        <v>1</v>
      </c>
      <c r="H72" t="str">
        <f>VLOOKUP($A72,articles_2026_01_26!$A$2:$U$737,10,FALSE)</f>
        <v>51-60</v>
      </c>
      <c r="I72" t="str">
        <f>VLOOKUP($A72,articles_2026_01_26!$A$2:$U$737,18,FALSE)</f>
        <v>10.1002/fsh.10015</v>
      </c>
    </row>
    <row r="73" spans="1:9" x14ac:dyDescent="0.25">
      <c r="A73" t="s">
        <v>1864</v>
      </c>
      <c r="B73" t="str">
        <f>VLOOKUP($A73,articles_2026_01_26!$A$2:$U$737,11,FALSE)</f>
        <v>Guillet, F. and Mermet, L.</v>
      </c>
      <c r="C73">
        <f>VLOOKUP($A73,articles_2026_01_26!$A$2:$U$737,3,FALSE)</f>
        <v>2020</v>
      </c>
      <c r="D73" t="str">
        <f>VLOOKUP($A73,articles_2026_01_26!$A$2:$U$737,2,FALSE)</f>
        <v>How to make biodiversity knowledge compelling? The case of mosquito control implementation in the Camargue (France)</v>
      </c>
      <c r="E73" t="str">
        <f>VLOOKUP($A73,articles_2026_01_26!$A$2:$U$737,6,FALSE)</f>
        <v>Environmental Science and Policy</v>
      </c>
      <c r="F73">
        <f>VLOOKUP($A73,articles_2026_01_26!$A$2:$U$737,8,FALSE)</f>
        <v>113</v>
      </c>
      <c r="G73">
        <f>VLOOKUP($A73,articles_2026_01_26!$A$2:$U$737,9,FALSE)</f>
        <v>0</v>
      </c>
      <c r="H73" t="str">
        <f>VLOOKUP($A73,articles_2026_01_26!$A$2:$U$737,10,FALSE)</f>
        <v>64-71</v>
      </c>
      <c r="I73" t="str">
        <f>VLOOKUP($A73,articles_2026_01_26!$A$2:$U$737,18,FALSE)</f>
        <v>10.1016/j.envsci.2017.05.004</v>
      </c>
    </row>
    <row r="74" spans="1:9" x14ac:dyDescent="0.25">
      <c r="A74" t="s">
        <v>1881</v>
      </c>
      <c r="B74" t="str">
        <f>VLOOKUP($A74,articles_2026_01_26!$A$2:$U$737,11,FALSE)</f>
        <v>Nguyen, V.M. and Young, N. and Cooke, S.J.</v>
      </c>
      <c r="C74">
        <f>VLOOKUP($A74,articles_2026_01_26!$A$2:$U$737,3,FALSE)</f>
        <v>2018</v>
      </c>
      <c r="D74" t="str">
        <f>VLOOKUP($A74,articles_2026_01_26!$A$2:$U$737,2,FALSE)</f>
        <v>Applying a knowledgeâ€“action framework for navigating barriers to incorporating telemetry science into fisheries management and conservation: A qualitative study</v>
      </c>
      <c r="E74" t="str">
        <f>VLOOKUP($A74,articles_2026_01_26!$A$2:$U$737,6,FALSE)</f>
        <v>Canadian Journal of Fisheries and Aquatic Sciences</v>
      </c>
      <c r="F74">
        <f>VLOOKUP($A74,articles_2026_01_26!$A$2:$U$737,8,FALSE)</f>
        <v>75</v>
      </c>
      <c r="G74">
        <f>VLOOKUP($A74,articles_2026_01_26!$A$2:$U$737,9,FALSE)</f>
        <v>10</v>
      </c>
      <c r="H74" t="str">
        <f>VLOOKUP($A74,articles_2026_01_26!$A$2:$U$737,10,FALSE)</f>
        <v>1733-1743</v>
      </c>
      <c r="I74" t="str">
        <f>VLOOKUP($A74,articles_2026_01_26!$A$2:$U$737,18,FALSE)</f>
        <v>10.1139/cjfas-2017-0303</v>
      </c>
    </row>
    <row r="75" spans="1:9" x14ac:dyDescent="0.25">
      <c r="A75" t="s">
        <v>1981</v>
      </c>
      <c r="B75" t="str">
        <f>VLOOKUP($A75,articles_2026_01_26!$A$2:$U$737,11,FALSE)</f>
        <v>Hoschke, R. and Pauli, N. and Langlois, T. and Knight, A.T. and Davies, H. and Navarro, M.</v>
      </c>
      <c r="C75">
        <f>VLOOKUP($A75,articles_2026_01_26!$A$2:$U$737,3,FALSE)</f>
        <v>2024</v>
      </c>
      <c r="D75" t="str">
        <f>VLOOKUP($A75,articles_2026_01_26!$A$2:$U$737,2,FALSE)</f>
        <v>Navigating diverse commercial fisher perspectives for effective knowledge exchange in fisheries research and management</v>
      </c>
      <c r="E75" t="str">
        <f>VLOOKUP($A75,articles_2026_01_26!$A$2:$U$737,6,FALSE)</f>
        <v>Environmental Science and Policy</v>
      </c>
      <c r="F75">
        <f>VLOOKUP($A75,articles_2026_01_26!$A$2:$U$737,8,FALSE)</f>
        <v>158</v>
      </c>
      <c r="G75">
        <f>VLOOKUP($A75,articles_2026_01_26!$A$2:$U$737,9,FALSE)</f>
        <v>0</v>
      </c>
      <c r="H75">
        <f>VLOOKUP($A75,articles_2026_01_26!$A$2:$U$737,10,FALSE)</f>
        <v>0</v>
      </c>
      <c r="I75" t="str">
        <f>VLOOKUP($A75,articles_2026_01_26!$A$2:$U$737,18,FALSE)</f>
        <v>10.1016/j.envsci.2024.103798</v>
      </c>
    </row>
    <row r="76" spans="1:9" x14ac:dyDescent="0.25">
      <c r="A76" t="s">
        <v>2019</v>
      </c>
      <c r="B76" t="str">
        <f>VLOOKUP($A76,articles_2026_01_26!$A$2:$U$737,11,FALSE)</f>
        <v>Lemieux, C.J. and Halpenny, E.A. and Swerdfager, T. and He, M. and Joyce Gould, A. and Den Hoed, D.C. and Bueddefeld, J. and Hvenegaard, G.T. and Joubert, B. and Rollins, R.</v>
      </c>
      <c r="C76">
        <f>VLOOKUP($A76,articles_2026_01_26!$A$2:$U$737,3,FALSE)</f>
        <v>2021</v>
      </c>
      <c r="D76" t="str">
        <f>VLOOKUP($A76,articles_2026_01_26!$A$2:$U$737,2,FALSE)</f>
        <v>Free Fallinâ€™? The decline in evidence-based decision-making by Canadaâ€™s protected areas managers</v>
      </c>
      <c r="E76" t="str">
        <f>VLOOKUP($A76,articles_2026_01_26!$A$2:$U$737,6,FALSE)</f>
        <v>Facets</v>
      </c>
      <c r="F76">
        <f>VLOOKUP($A76,articles_2026_01_26!$A$2:$U$737,8,FALSE)</f>
        <v>6</v>
      </c>
      <c r="G76">
        <f>VLOOKUP($A76,articles_2026_01_26!$A$2:$U$737,9,FALSE)</f>
        <v>1</v>
      </c>
      <c r="H76" t="str">
        <f>VLOOKUP($A76,articles_2026_01_26!$A$2:$U$737,10,FALSE)</f>
        <v>640-664</v>
      </c>
      <c r="I76" t="str">
        <f>VLOOKUP($A76,articles_2026_01_26!$A$2:$U$737,18,FALSE)</f>
        <v>10.1139/FACETS-2020-0085</v>
      </c>
    </row>
    <row r="77" spans="1:9" x14ac:dyDescent="0.25">
      <c r="A77" t="s">
        <v>2053</v>
      </c>
      <c r="B77" t="str">
        <f>VLOOKUP($A77,articles_2026_01_26!$A$2:$U$737,11,FALSE)</f>
        <v>Nguyen, V.M. and Young, N. and Brownscombe, J.W. and Cooke, S.J.</v>
      </c>
      <c r="C77">
        <f>VLOOKUP($A77,articles_2026_01_26!$A$2:$U$737,3,FALSE)</f>
        <v>2019</v>
      </c>
      <c r="D77" t="str">
        <f>VLOOKUP($A77,articles_2026_01_26!$A$2:$U$737,2,FALSE)</f>
        <v>Collaboration and engagement produce more actionable science: quantitatively analyzing uptake of fish tracking studies</v>
      </c>
      <c r="E77" t="str">
        <f>VLOOKUP($A77,articles_2026_01_26!$A$2:$U$737,6,FALSE)</f>
        <v>Ecological Applications</v>
      </c>
      <c r="F77">
        <f>VLOOKUP($A77,articles_2026_01_26!$A$2:$U$737,8,FALSE)</f>
        <v>29</v>
      </c>
      <c r="G77">
        <f>VLOOKUP($A77,articles_2026_01_26!$A$2:$U$737,9,FALSE)</f>
        <v>6</v>
      </c>
      <c r="H77">
        <f>VLOOKUP($A77,articles_2026_01_26!$A$2:$U$737,10,FALSE)</f>
        <v>0</v>
      </c>
      <c r="I77" t="str">
        <f>VLOOKUP($A77,articles_2026_01_26!$A$2:$U$737,18,FALSE)</f>
        <v>10.1002/eap.1943</v>
      </c>
    </row>
    <row r="78" spans="1:9" x14ac:dyDescent="0.25">
      <c r="A78" t="s">
        <v>2061</v>
      </c>
      <c r="B78" t="str">
        <f>VLOOKUP($A78,articles_2026_01_26!$A$2:$U$737,11,FALSE)</f>
        <v>De Mel, M. and Solecki, W. and Horton, R. and Bartlett, R. and Hehmeyer, A. and Martin, S. and Rosenzweig, C.</v>
      </c>
      <c r="C78">
        <f>VLOOKUP($A78,articles_2026_01_26!$A$2:$U$737,3,FALSE)</f>
        <v>2021</v>
      </c>
      <c r="D78" t="str">
        <f>VLOOKUP($A78,articles_2026_01_26!$A$2:$U$737,2,FALSE)</f>
        <v>Perceptions of climate risk and use of climate risk information by natural resource conservation stakeholders participating in ADVANCE projects in Asia and Latin America</v>
      </c>
      <c r="E78" t="str">
        <f>VLOOKUP($A78,articles_2026_01_26!$A$2:$U$737,6,FALSE)</f>
        <v>Weather, Climate, and Society</v>
      </c>
      <c r="F78">
        <f>VLOOKUP($A78,articles_2026_01_26!$A$2:$U$737,8,FALSE)</f>
        <v>13</v>
      </c>
      <c r="G78">
        <f>VLOOKUP($A78,articles_2026_01_26!$A$2:$U$737,9,FALSE)</f>
        <v>3</v>
      </c>
      <c r="H78" t="str">
        <f>VLOOKUP($A78,articles_2026_01_26!$A$2:$U$737,10,FALSE)</f>
        <v>423-436</v>
      </c>
      <c r="I78" t="str">
        <f>VLOOKUP($A78,articles_2026_01_26!$A$2:$U$737,18,FALSE)</f>
        <v>10.1175/WCAS-D-20-0010.1</v>
      </c>
    </row>
    <row r="79" spans="1:9" x14ac:dyDescent="0.25">
      <c r="A79" t="s">
        <v>2078</v>
      </c>
      <c r="B79" t="str">
        <f>VLOOKUP($A79,articles_2026_01_26!$A$2:$U$737,11,FALSE)</f>
        <v>Bremer, S. and Glavovic, B.</v>
      </c>
      <c r="C79">
        <f>VLOOKUP($A79,articles_2026_01_26!$A$2:$U$737,3,FALSE)</f>
        <v>2013</v>
      </c>
      <c r="D79" t="str">
        <f>VLOOKUP($A79,articles_2026_01_26!$A$2:$U$737,2,FALSE)</f>
        <v>Exploring the science-policy interface for Integrated Coastal Management in New Zealand</v>
      </c>
      <c r="E79" t="str">
        <f>VLOOKUP($A79,articles_2026_01_26!$A$2:$U$737,6,FALSE)</f>
        <v>Ocean and Coastal Management</v>
      </c>
      <c r="F79">
        <f>VLOOKUP($A79,articles_2026_01_26!$A$2:$U$737,8,FALSE)</f>
        <v>84</v>
      </c>
      <c r="G79">
        <f>VLOOKUP($A79,articles_2026_01_26!$A$2:$U$737,9,FALSE)</f>
        <v>0</v>
      </c>
      <c r="H79" t="str">
        <f>VLOOKUP($A79,articles_2026_01_26!$A$2:$U$737,10,FALSE)</f>
        <v>107-118</v>
      </c>
      <c r="I79" t="str">
        <f>VLOOKUP($A79,articles_2026_01_26!$A$2:$U$737,18,FALSE)</f>
        <v>10.1016/j.ocecoaman.2013.08.008</v>
      </c>
    </row>
    <row r="80" spans="1:9" x14ac:dyDescent="0.25">
      <c r="A80" t="s">
        <v>2086</v>
      </c>
      <c r="B80" t="str">
        <f>VLOOKUP($A80,articles_2026_01_26!$A$2:$U$737,11,FALSE)</f>
        <v>Cvitanovic, C. and McDonald, J. and Hobday, A.J.</v>
      </c>
      <c r="C80">
        <f>VLOOKUP($A80,articles_2026_01_26!$A$2:$U$737,3,FALSE)</f>
        <v>2016</v>
      </c>
      <c r="D80" t="str">
        <f>VLOOKUP($A80,articles_2026_01_26!$A$2:$U$737,2,FALSE)</f>
        <v>From science to action: Principles for undertaking environmental research that enables knowledge exchange and evidence-based decision-making</v>
      </c>
      <c r="E80" t="str">
        <f>VLOOKUP($A80,articles_2026_01_26!$A$2:$U$737,6,FALSE)</f>
        <v>Journal of Environmental Management</v>
      </c>
      <c r="F80">
        <f>VLOOKUP($A80,articles_2026_01_26!$A$2:$U$737,8,FALSE)</f>
        <v>183</v>
      </c>
      <c r="G80">
        <f>VLOOKUP($A80,articles_2026_01_26!$A$2:$U$737,9,FALSE)</f>
        <v>0</v>
      </c>
      <c r="H80" t="str">
        <f>VLOOKUP($A80,articles_2026_01_26!$A$2:$U$737,10,FALSE)</f>
        <v>864-874</v>
      </c>
      <c r="I80" t="str">
        <f>VLOOKUP($A80,articles_2026_01_26!$A$2:$U$737,18,FALSE)</f>
        <v>10.1016/j.jenvman.2016.09.038</v>
      </c>
    </row>
    <row r="81" spans="1:9" x14ac:dyDescent="0.25">
      <c r="A81" t="s">
        <v>2241</v>
      </c>
      <c r="B81" t="str">
        <f>VLOOKUP($A81,articles_2026_01_26!$A$2:$U$737,11,FALSE)</f>
        <v>Archibald, D.W. and McIver, R. and Rangeley, R.</v>
      </c>
      <c r="C81">
        <f>VLOOKUP($A81,articles_2026_01_26!$A$2:$U$737,3,FALSE)</f>
        <v>2021</v>
      </c>
      <c r="D81" t="str">
        <f>VLOOKUP($A81,articles_2026_01_26!$A$2:$U$737,2,FALSE)</f>
        <v>Untimely publications: Delayed Canadian fisheries science advice limits transparency of decision-making</v>
      </c>
      <c r="E81" t="str">
        <f>VLOOKUP($A81,articles_2026_01_26!$A$2:$U$737,6,FALSE)</f>
        <v>Marine Policy</v>
      </c>
      <c r="F81">
        <f>VLOOKUP($A81,articles_2026_01_26!$A$2:$U$737,8,FALSE)</f>
        <v>132</v>
      </c>
      <c r="G81">
        <f>VLOOKUP($A81,articles_2026_01_26!$A$2:$U$737,9,FALSE)</f>
        <v>0</v>
      </c>
      <c r="H81">
        <f>VLOOKUP($A81,articles_2026_01_26!$A$2:$U$737,10,FALSE)</f>
        <v>0</v>
      </c>
      <c r="I81" t="str">
        <f>VLOOKUP($A81,articles_2026_01_26!$A$2:$U$737,18,FALSE)</f>
        <v>10.1016/j.marpol.2021.104690</v>
      </c>
    </row>
    <row r="82" spans="1:9" x14ac:dyDescent="0.25">
      <c r="A82" t="s">
        <v>2255</v>
      </c>
      <c r="B82" t="str">
        <f>VLOOKUP($A82,articles_2026_01_26!$A$2:$U$737,11,FALSE)</f>
        <v>Matzek, V. and Covino, J. and Funk, J.L. and Saunders, M.</v>
      </c>
      <c r="C82">
        <f>VLOOKUP($A82,articles_2026_01_26!$A$2:$U$737,3,FALSE)</f>
        <v>2014</v>
      </c>
      <c r="D82" t="str">
        <f>VLOOKUP($A82,articles_2026_01_26!$A$2:$U$737,2,FALSE)</f>
        <v>Closing the knowing-doing gap in invasive plant management: Accessibility and interdisciplinarity of scientific research</v>
      </c>
      <c r="E82" t="str">
        <f>VLOOKUP($A82,articles_2026_01_26!$A$2:$U$737,6,FALSE)</f>
        <v>Conservation Letters</v>
      </c>
      <c r="F82">
        <f>VLOOKUP($A82,articles_2026_01_26!$A$2:$U$737,8,FALSE)</f>
        <v>7</v>
      </c>
      <c r="G82">
        <f>VLOOKUP($A82,articles_2026_01_26!$A$2:$U$737,9,FALSE)</f>
        <v>3</v>
      </c>
      <c r="H82" t="str">
        <f>VLOOKUP($A82,articles_2026_01_26!$A$2:$U$737,10,FALSE)</f>
        <v>208-215</v>
      </c>
      <c r="I82" t="str">
        <f>VLOOKUP($A82,articles_2026_01_26!$A$2:$U$737,18,FALSE)</f>
        <v>10.1111/conl.12042</v>
      </c>
    </row>
    <row r="83" spans="1:9" x14ac:dyDescent="0.25">
      <c r="A83" t="s">
        <v>2345</v>
      </c>
      <c r="B83" t="str">
        <f>VLOOKUP($A83,articles_2026_01_26!$A$2:$U$737,11,FALSE)</f>
        <v>Goldsworthy, L.D.</v>
      </c>
      <c r="C83">
        <f>VLOOKUP($A83,articles_2026_01_26!$A$2:$U$737,3,FALSE)</f>
        <v>2022</v>
      </c>
      <c r="D83" t="str">
        <f>VLOOKUP($A83,articles_2026_01_26!$A$2:$U$737,2,FALSE)</f>
        <v>â€˜Best available scienceâ€™ approach to management decisions by the Commission for the Convention on the Conservation of Antarctic Living Resources: consistent or selective?</v>
      </c>
      <c r="E83" t="str">
        <f>VLOOKUP($A83,articles_2026_01_26!$A$2:$U$737,6,FALSE)</f>
        <v>Australian Journal of Maritime and Ocean Affairs</v>
      </c>
      <c r="F83">
        <f>VLOOKUP($A83,articles_2026_01_26!$A$2:$U$737,8,FALSE)</f>
        <v>14</v>
      </c>
      <c r="G83">
        <f>VLOOKUP($A83,articles_2026_01_26!$A$2:$U$737,9,FALSE)</f>
        <v>1</v>
      </c>
      <c r="H83" t="str">
        <f>VLOOKUP($A83,articles_2026_01_26!$A$2:$U$737,10,FALSE)</f>
        <v>53-75</v>
      </c>
      <c r="I83" t="str">
        <f>VLOOKUP($A83,articles_2026_01_26!$A$2:$U$737,18,FALSE)</f>
        <v>10.1080/18366503.2021.1980264</v>
      </c>
    </row>
    <row r="84" spans="1:9" x14ac:dyDescent="0.25">
      <c r="A84" t="s">
        <v>2353</v>
      </c>
      <c r="B84" t="str">
        <f>VLOOKUP($A84,articles_2026_01_26!$A$2:$U$737,11,FALSE)</f>
        <v>Eck, K. and Soomai, S.S. and MacDonald, B.H.</v>
      </c>
      <c r="C84">
        <f>VLOOKUP($A84,articles_2026_01_26!$A$2:$U$737,3,FALSE)</f>
        <v>2024</v>
      </c>
      <c r="D84" t="str">
        <f>VLOOKUP($A84,articles_2026_01_26!$A$2:$U$737,2,FALSE)</f>
        <v>On the development of criteria for determining the effectiveness of technical working groups: A case study about information processes in marine conservation and fisheries management in Belize</v>
      </c>
      <c r="E84" t="str">
        <f>VLOOKUP($A84,articles_2026_01_26!$A$2:$U$737,6,FALSE)</f>
        <v>Environmental Science and Policy</v>
      </c>
      <c r="F84">
        <f>VLOOKUP($A84,articles_2026_01_26!$A$2:$U$737,8,FALSE)</f>
        <v>160</v>
      </c>
      <c r="G84">
        <f>VLOOKUP($A84,articles_2026_01_26!$A$2:$U$737,9,FALSE)</f>
        <v>0</v>
      </c>
      <c r="H84">
        <f>VLOOKUP($A84,articles_2026_01_26!$A$2:$U$737,10,FALSE)</f>
        <v>0</v>
      </c>
      <c r="I84" t="str">
        <f>VLOOKUP($A84,articles_2026_01_26!$A$2:$U$737,18,FALSE)</f>
        <v>10.1016/j.envsci.2024.103863</v>
      </c>
    </row>
    <row r="85" spans="1:9" x14ac:dyDescent="0.25">
      <c r="A85" t="s">
        <v>2441</v>
      </c>
      <c r="B85" t="str">
        <f>VLOOKUP($A85,articles_2026_01_26!$A$2:$U$737,11,FALSE)</f>
        <v>De Santo, E.M.</v>
      </c>
      <c r="C85">
        <f>VLOOKUP($A85,articles_2026_01_26!$A$2:$U$737,3,FALSE)</f>
        <v>2016</v>
      </c>
      <c r="D85" t="str">
        <f>VLOOKUP($A85,articles_2026_01_26!$A$2:$U$737,2,FALSE)</f>
        <v>Assessing public "participation" in environmental decision-making: Lessons learned from the UK Marine Conservation Zone (MCZ) site selection process</v>
      </c>
      <c r="E85" t="str">
        <f>VLOOKUP($A85,articles_2026_01_26!$A$2:$U$737,6,FALSE)</f>
        <v>Marine Policy</v>
      </c>
      <c r="F85">
        <f>VLOOKUP($A85,articles_2026_01_26!$A$2:$U$737,8,FALSE)</f>
        <v>64</v>
      </c>
      <c r="G85">
        <f>VLOOKUP($A85,articles_2026_01_26!$A$2:$U$737,9,FALSE)</f>
        <v>0</v>
      </c>
      <c r="H85" t="str">
        <f>VLOOKUP($A85,articles_2026_01_26!$A$2:$U$737,10,FALSE)</f>
        <v>91-101</v>
      </c>
      <c r="I85" t="str">
        <f>VLOOKUP($A85,articles_2026_01_26!$A$2:$U$737,18,FALSE)</f>
        <v>10.1016/j.marpol.2015.11.003</v>
      </c>
    </row>
    <row r="86" spans="1:9" x14ac:dyDescent="0.25">
      <c r="A86" t="s">
        <v>2515</v>
      </c>
      <c r="B86" t="str">
        <f>VLOOKUP($A86,articles_2026_01_26!$A$2:$U$737,11,FALSE)</f>
        <v>Addison, P.F.E. and Cook, C.N. and de Bie, K.</v>
      </c>
      <c r="C86">
        <f>VLOOKUP($A86,articles_2026_01_26!$A$2:$U$737,3,FALSE)</f>
        <v>2016</v>
      </c>
      <c r="D86" t="str">
        <f>VLOOKUP($A86,articles_2026_01_26!$A$2:$U$737,2,FALSE)</f>
        <v>Conservation practitioners' perspectives on decision triggers for evidence-based management</v>
      </c>
      <c r="E86" t="str">
        <f>VLOOKUP($A86,articles_2026_01_26!$A$2:$U$737,6,FALSE)</f>
        <v>Journal of Applied Ecology</v>
      </c>
      <c r="F86">
        <f>VLOOKUP($A86,articles_2026_01_26!$A$2:$U$737,8,FALSE)</f>
        <v>53</v>
      </c>
      <c r="G86">
        <f>VLOOKUP($A86,articles_2026_01_26!$A$2:$U$737,9,FALSE)</f>
        <v>5</v>
      </c>
      <c r="H86" t="str">
        <f>VLOOKUP($A86,articles_2026_01_26!$A$2:$U$737,10,FALSE)</f>
        <v>1351-1357</v>
      </c>
      <c r="I86" t="str">
        <f>VLOOKUP($A86,articles_2026_01_26!$A$2:$U$737,18,FALSE)</f>
        <v>10.1111/1365-2664.12734</v>
      </c>
    </row>
    <row r="87" spans="1:9" x14ac:dyDescent="0.25">
      <c r="A87" t="s">
        <v>2556</v>
      </c>
      <c r="B87" t="str">
        <f>VLOOKUP($A87,articles_2026_01_26!$A$2:$U$737,11,FALSE)</f>
        <v>Gutzat, F. and Dormann, C.F.</v>
      </c>
      <c r="C87">
        <f>VLOOKUP($A87,articles_2026_01_26!$A$2:$U$737,3,FALSE)</f>
        <v>2020</v>
      </c>
      <c r="D87" t="str">
        <f>VLOOKUP($A87,articles_2026_01_26!$A$2:$U$737,2,FALSE)</f>
        <v>Exploration of Concerns about the Evidence-Based Guideline Approach in Conservation Management: Hints from Medical Practice</v>
      </c>
      <c r="E87" t="str">
        <f>VLOOKUP($A87,articles_2026_01_26!$A$2:$U$737,6,FALSE)</f>
        <v>Environmental Management</v>
      </c>
      <c r="F87">
        <f>VLOOKUP($A87,articles_2026_01_26!$A$2:$U$737,8,FALSE)</f>
        <v>66</v>
      </c>
      <c r="G87">
        <f>VLOOKUP($A87,articles_2026_01_26!$A$2:$U$737,9,FALSE)</f>
        <v>3</v>
      </c>
      <c r="H87" t="str">
        <f>VLOOKUP($A87,articles_2026_01_26!$A$2:$U$737,10,FALSE)</f>
        <v>435-449</v>
      </c>
      <c r="I87" t="str">
        <f>VLOOKUP($A87,articles_2026_01_26!$A$2:$U$737,18,FALSE)</f>
        <v>10.1007/s00267-020-01312-6</v>
      </c>
    </row>
    <row r="88" spans="1:9" x14ac:dyDescent="0.25">
      <c r="A88" t="s">
        <v>2585</v>
      </c>
      <c r="B88" t="str">
        <f>VLOOKUP($A88,articles_2026_01_26!$A$2:$U$737,11,FALSE)</f>
        <v>Mulvaney, K.K. and Foley, C.J. and HÃ¶Ã¶k, T.O. and McNie, E.C. and Prokopy, L.S.</v>
      </c>
      <c r="C88">
        <f>VLOOKUP($A88,articles_2026_01_26!$A$2:$U$737,3,FALSE)</f>
        <v>2014</v>
      </c>
      <c r="D88" t="str">
        <f>VLOOKUP($A88,articles_2026_01_26!$A$2:$U$737,2,FALSE)</f>
        <v>Identifying useful climate change information needs of Great Lakes fishery managers</v>
      </c>
      <c r="E88" t="str">
        <f>VLOOKUP($A88,articles_2026_01_26!$A$2:$U$737,6,FALSE)</f>
        <v>Journal of Great Lakes Research</v>
      </c>
      <c r="F88">
        <f>VLOOKUP($A88,articles_2026_01_26!$A$2:$U$737,8,FALSE)</f>
        <v>40</v>
      </c>
      <c r="G88">
        <f>VLOOKUP($A88,articles_2026_01_26!$A$2:$U$737,9,FALSE)</f>
        <v>3</v>
      </c>
      <c r="H88" t="str">
        <f>VLOOKUP($A88,articles_2026_01_26!$A$2:$U$737,10,FALSE)</f>
        <v>590-598</v>
      </c>
      <c r="I88" t="str">
        <f>VLOOKUP($A88,articles_2026_01_26!$A$2:$U$737,18,FALSE)</f>
        <v>10.1016/j.jglr.2014.06.002</v>
      </c>
    </row>
    <row r="89" spans="1:9" x14ac:dyDescent="0.25">
      <c r="A89" t="s">
        <v>2593</v>
      </c>
      <c r="B89" t="str">
        <f>VLOOKUP($A89,articles_2026_01_26!$A$2:$U$737,11,FALSE)</f>
        <v>Van Haastrecht, E.K. and Toonen, H.M.</v>
      </c>
      <c r="C89">
        <f>VLOOKUP($A89,articles_2026_01_26!$A$2:$U$737,3,FALSE)</f>
        <v>2011</v>
      </c>
      <c r="D89" t="str">
        <f>VLOOKUP($A89,articles_2026_01_26!$A$2:$U$737,2,FALSE)</f>
        <v>Science-policy interactions in MPA site selection in the Dutch part of the North Sea</v>
      </c>
      <c r="E89" t="str">
        <f>VLOOKUP($A89,articles_2026_01_26!$A$2:$U$737,6,FALSE)</f>
        <v>Environmental Management</v>
      </c>
      <c r="F89">
        <f>VLOOKUP($A89,articles_2026_01_26!$A$2:$U$737,8,FALSE)</f>
        <v>47</v>
      </c>
      <c r="G89">
        <f>VLOOKUP($A89,articles_2026_01_26!$A$2:$U$737,9,FALSE)</f>
        <v>4</v>
      </c>
      <c r="H89" t="str">
        <f>VLOOKUP($A89,articles_2026_01_26!$A$2:$U$737,10,FALSE)</f>
        <v>656-670</v>
      </c>
      <c r="I89" t="str">
        <f>VLOOKUP($A89,articles_2026_01_26!$A$2:$U$737,18,FALSE)</f>
        <v>10.1007/s00267-010-9546-7</v>
      </c>
    </row>
    <row r="90" spans="1:9" x14ac:dyDescent="0.25">
      <c r="A90" t="s">
        <v>2644</v>
      </c>
      <c r="B90" t="str">
        <f>VLOOKUP($A90,articles_2026_01_26!$A$2:$U$737,11,FALSE)</f>
        <v>Cochrane, K.</v>
      </c>
      <c r="C90">
        <f>VLOOKUP($A90,articles_2026_01_26!$A$2:$U$737,3,FALSE)</f>
        <v>2015</v>
      </c>
      <c r="D90" t="str">
        <f>VLOOKUP($A90,articles_2026_01_26!$A$2:$U$737,2,FALSE)</f>
        <v>Use and misuse of CITES as a management tool for commercially-exploited aquatic species</v>
      </c>
      <c r="E90" t="str">
        <f>VLOOKUP($A90,articles_2026_01_26!$A$2:$U$737,6,FALSE)</f>
        <v>Marine Policy</v>
      </c>
      <c r="F90">
        <f>VLOOKUP($A90,articles_2026_01_26!$A$2:$U$737,8,FALSE)</f>
        <v>59</v>
      </c>
      <c r="G90">
        <f>VLOOKUP($A90,articles_2026_01_26!$A$2:$U$737,9,FALSE)</f>
        <v>0</v>
      </c>
      <c r="H90" t="str">
        <f>VLOOKUP($A90,articles_2026_01_26!$A$2:$U$737,10,FALSE)</f>
        <v>16-31</v>
      </c>
      <c r="I90" t="str">
        <f>VLOOKUP($A90,articles_2026_01_26!$A$2:$U$737,18,FALSE)</f>
        <v>10.1016/j.marpol.2015.04.015</v>
      </c>
    </row>
    <row r="91" spans="1:9" x14ac:dyDescent="0.25">
      <c r="A91" t="s">
        <v>2673</v>
      </c>
      <c r="B91" t="str">
        <f>VLOOKUP($A91,articles_2026_01_26!$A$2:$U$737,11,FALSE)</f>
        <v>Cvitanovic, C. and Fulton, C.J. and Wilson, S.K. and van Kerkhoff, L. and Cripps, I.L. and Muthiga, N.</v>
      </c>
      <c r="C91">
        <f>VLOOKUP($A91,articles_2026_01_26!$A$2:$U$737,3,FALSE)</f>
        <v>2014</v>
      </c>
      <c r="D91" t="str">
        <f>VLOOKUP($A91,articles_2026_01_26!$A$2:$U$737,2,FALSE)</f>
        <v>Utility of primary scientific literature to environmental managers: An international case study on coral-dominated marine protected areas</v>
      </c>
      <c r="E91" t="str">
        <f>VLOOKUP($A91,articles_2026_01_26!$A$2:$U$737,6,FALSE)</f>
        <v>Ocean and Coastal Management</v>
      </c>
      <c r="F91">
        <f>VLOOKUP($A91,articles_2026_01_26!$A$2:$U$737,8,FALSE)</f>
        <v>102</v>
      </c>
      <c r="G91">
        <f>VLOOKUP($A91,articles_2026_01_26!$A$2:$U$737,9,FALSE)</f>
        <v>0</v>
      </c>
      <c r="H91" t="str">
        <f>VLOOKUP($A91,articles_2026_01_26!$A$2:$U$737,10,FALSE)</f>
        <v>72-78</v>
      </c>
      <c r="I91" t="str">
        <f>VLOOKUP($A91,articles_2026_01_26!$A$2:$U$737,18,FALSE)</f>
        <v>10.1016/j.ocecoaman.2014.09.003</v>
      </c>
    </row>
    <row r="92" spans="1:9" x14ac:dyDescent="0.25">
      <c r="A92" t="s">
        <v>2681</v>
      </c>
      <c r="B92" t="str">
        <f>VLOOKUP($A92,articles_2026_01_26!$A$2:$U$737,11,FALSE)</f>
        <v>Durant, S.M. and Groom, R. and Kuloba, B. and Samna, A. and Muzuma, U. and Gadimang, P. and Mandisodza-Chikerema, R. and Ipavec, A. and Mitchell, N. and Ikanda, D. and Msuha, M.</v>
      </c>
      <c r="C92">
        <f>VLOOKUP($A92,articles_2026_01_26!$A$2:$U$737,3,FALSE)</f>
        <v>2019</v>
      </c>
      <c r="D92" t="str">
        <f>VLOOKUP($A92,articles_2026_01_26!$A$2:$U$737,2,FALSE)</f>
        <v>Bridging the divide between scientists and decision-makers: How behavioural ecologists can increase the conservation impact of their research?</v>
      </c>
      <c r="E92" t="str">
        <f>VLOOKUP($A92,articles_2026_01_26!$A$2:$U$737,6,FALSE)</f>
        <v>Philosophical Transactions of the Royal Society B: Biological Sciences</v>
      </c>
      <c r="F92">
        <f>VLOOKUP($A92,articles_2026_01_26!$A$2:$U$737,8,FALSE)</f>
        <v>374</v>
      </c>
      <c r="G92">
        <f>VLOOKUP($A92,articles_2026_01_26!$A$2:$U$737,9,FALSE)</f>
        <v>1781</v>
      </c>
      <c r="H92">
        <f>VLOOKUP($A92,articles_2026_01_26!$A$2:$U$737,10,FALSE)</f>
        <v>0</v>
      </c>
      <c r="I92" t="str">
        <f>VLOOKUP($A92,articles_2026_01_26!$A$2:$U$737,18,FALSE)</f>
        <v>10.1098/rstb.2019.0011</v>
      </c>
    </row>
    <row r="93" spans="1:9" x14ac:dyDescent="0.25">
      <c r="A93" t="s">
        <v>2689</v>
      </c>
      <c r="B93" t="str">
        <f>VLOOKUP($A93,articles_2026_01_26!$A$2:$U$737,11,FALSE)</f>
        <v>Latour, M. and van Laerhoven, F.</v>
      </c>
      <c r="C93">
        <f>VLOOKUP($A93,articles_2026_01_26!$A$2:$U$737,3,FALSE)</f>
        <v>2024</v>
      </c>
      <c r="D93" t="str">
        <f>VLOOKUP($A93,articles_2026_01_26!$A$2:$U$737,2,FALSE)</f>
        <v>A new perspective on the work of boundary organisations: Bridging knowledge between marine conservation actors in Pacific Small Island Developing States</v>
      </c>
      <c r="E93" t="str">
        <f>VLOOKUP($A93,articles_2026_01_26!$A$2:$U$737,6,FALSE)</f>
        <v>Environmental Science and Policy</v>
      </c>
      <c r="F93">
        <f>VLOOKUP($A93,articles_2026_01_26!$A$2:$U$737,8,FALSE)</f>
        <v>162</v>
      </c>
      <c r="G93">
        <f>VLOOKUP($A93,articles_2026_01_26!$A$2:$U$737,9,FALSE)</f>
        <v>0</v>
      </c>
      <c r="H93">
        <f>VLOOKUP($A93,articles_2026_01_26!$A$2:$U$737,10,FALSE)</f>
        <v>0</v>
      </c>
      <c r="I93" t="str">
        <f>VLOOKUP($A93,articles_2026_01_26!$A$2:$U$737,18,FALSE)</f>
        <v>10.1016/j.envsci.2024.103903</v>
      </c>
    </row>
    <row r="94" spans="1:9" x14ac:dyDescent="0.25">
      <c r="A94" t="s">
        <v>2702</v>
      </c>
      <c r="B94" t="str">
        <f>VLOOKUP($A94,articles_2026_01_26!$A$2:$U$737,11,FALSE)</f>
        <v>Jarvis, R.M. and Borrelle, S.B. and Forsdick, N.J. and PÃ©rez-HÃ¤mmerle, K.-V. and Dubois, N.S. and Griffin, S.R. and Recalde-Salas, A. and Buschke, F. and Rose, D.C. and Archibald, C.L. and Gallo, J.A. and Mair, L. and Kadykalo, A.N. and Shanahan, D. and Prohaska, B.K.</v>
      </c>
      <c r="C94">
        <f>VLOOKUP($A94,articles_2026_01_26!$A$2:$U$737,3,FALSE)</f>
        <v>2020</v>
      </c>
      <c r="D94" t="str">
        <f>VLOOKUP($A94,articles_2026_01_26!$A$2:$U$737,2,FALSE)</f>
        <v>Navigating spaces between conservation research and practice: Are we making progress?</v>
      </c>
      <c r="E94" t="str">
        <f>VLOOKUP($A94,articles_2026_01_26!$A$2:$U$737,6,FALSE)</f>
        <v>Ecological Solutions and Evidence</v>
      </c>
      <c r="F94">
        <f>VLOOKUP($A94,articles_2026_01_26!$A$2:$U$737,8,FALSE)</f>
        <v>1</v>
      </c>
      <c r="G94">
        <f>VLOOKUP($A94,articles_2026_01_26!$A$2:$U$737,9,FALSE)</f>
        <v>2</v>
      </c>
      <c r="H94">
        <f>VLOOKUP($A94,articles_2026_01_26!$A$2:$U$737,10,FALSE)</f>
        <v>0</v>
      </c>
      <c r="I94" t="str">
        <f>VLOOKUP($A94,articles_2026_01_26!$A$2:$U$737,18,FALSE)</f>
        <v>10.1002/2688-8319.12028</v>
      </c>
    </row>
    <row r="95" spans="1:9" x14ac:dyDescent="0.25">
      <c r="A95" t="s">
        <v>2709</v>
      </c>
      <c r="B95" t="str">
        <f>VLOOKUP($A95,articles_2026_01_26!$A$2:$U$737,11,FALSE)</f>
        <v>De Santo, E.M.</v>
      </c>
      <c r="C95">
        <f>VLOOKUP($A95,articles_2026_01_26!$A$2:$U$737,3,FALSE)</f>
        <v>2017</v>
      </c>
      <c r="D95" t="str">
        <f>VLOOKUP($A95,articles_2026_01_26!$A$2:$U$737,2,FALSE)</f>
        <v>California dreaming: Challenges posed by transposing science-based marine protected area planning processes in different political contexts</v>
      </c>
      <c r="E95" t="str">
        <f>VLOOKUP($A95,articles_2026_01_26!$A$2:$U$737,6,FALSE)</f>
        <v>Environmental Science and Policy</v>
      </c>
      <c r="F95">
        <f>VLOOKUP($A95,articles_2026_01_26!$A$2:$U$737,8,FALSE)</f>
        <v>75</v>
      </c>
      <c r="G95">
        <f>VLOOKUP($A95,articles_2026_01_26!$A$2:$U$737,9,FALSE)</f>
        <v>0</v>
      </c>
      <c r="H95" t="str">
        <f>VLOOKUP($A95,articles_2026_01_26!$A$2:$U$737,10,FALSE)</f>
        <v>38-46</v>
      </c>
      <c r="I95" t="str">
        <f>VLOOKUP($A95,articles_2026_01_26!$A$2:$U$737,18,FALSE)</f>
        <v>10.1016/j.envsci.2017.05.012</v>
      </c>
    </row>
    <row r="96" spans="1:9" x14ac:dyDescent="0.25">
      <c r="A96" t="s">
        <v>2723</v>
      </c>
      <c r="B96" t="str">
        <f>VLOOKUP($A96,articles_2026_01_26!$A$2:$U$737,11,FALSE)</f>
        <v>Lemieux, C.J. and Groulx, M.W. and Bocking, S. and Beechey, T.J.</v>
      </c>
      <c r="C96">
        <f>VLOOKUP($A96,articles_2026_01_26!$A$2:$U$737,3,FALSE)</f>
        <v>2018</v>
      </c>
      <c r="D96" t="str">
        <f>VLOOKUP($A96,articles_2026_01_26!$A$2:$U$737,2,FALSE)</f>
        <v>Evidence-based decision-making in Canadaâ€™s protected areas organizations: Implications for management effectiveness</v>
      </c>
      <c r="E96" t="str">
        <f>VLOOKUP($A96,articles_2026_01_26!$A$2:$U$737,6,FALSE)</f>
        <v>Facets</v>
      </c>
      <c r="F96">
        <f>VLOOKUP($A96,articles_2026_01_26!$A$2:$U$737,8,FALSE)</f>
        <v>3</v>
      </c>
      <c r="G96">
        <f>VLOOKUP($A96,articles_2026_01_26!$A$2:$U$737,9,FALSE)</f>
        <v>1</v>
      </c>
      <c r="H96" t="str">
        <f>VLOOKUP($A96,articles_2026_01_26!$A$2:$U$737,10,FALSE)</f>
        <v>392-414</v>
      </c>
      <c r="I96" t="str">
        <f>VLOOKUP($A96,articles_2026_01_26!$A$2:$U$737,18,FALSE)</f>
        <v>10.1139/facets-2017-0107</v>
      </c>
    </row>
    <row r="97" spans="1:9" x14ac:dyDescent="0.25">
      <c r="A97" t="s">
        <v>2739</v>
      </c>
      <c r="B97" t="str">
        <f>VLOOKUP($A97,articles_2026_01_26!$A$2:$U$737,11,FALSE)</f>
        <v>Fabian, Y. and Bollmann, K. and Brang, P. and Heiri, C. and Olschewski, R. and Rigling, A. and Stofer, S. and Holderegger, R.</v>
      </c>
      <c r="C97">
        <f>VLOOKUP($A97,articles_2026_01_26!$A$2:$U$737,3,FALSE)</f>
        <v>2019</v>
      </c>
      <c r="D97" t="str">
        <f>VLOOKUP($A97,articles_2026_01_26!$A$2:$U$737,2,FALSE)</f>
        <v>How to close the science-practice gap in nature conservation? Information sources used by practitioners</v>
      </c>
      <c r="E97" t="str">
        <f>VLOOKUP($A97,articles_2026_01_26!$A$2:$U$737,6,FALSE)</f>
        <v>Biological Conservation</v>
      </c>
      <c r="F97">
        <f>VLOOKUP($A97,articles_2026_01_26!$A$2:$U$737,8,FALSE)</f>
        <v>235</v>
      </c>
      <c r="G97">
        <f>VLOOKUP($A97,articles_2026_01_26!$A$2:$U$737,9,FALSE)</f>
        <v>0</v>
      </c>
      <c r="H97" t="str">
        <f>VLOOKUP($A97,articles_2026_01_26!$A$2:$U$737,10,FALSE)</f>
        <v>93-101</v>
      </c>
      <c r="I97" t="str">
        <f>VLOOKUP($A97,articles_2026_01_26!$A$2:$U$737,18,FALSE)</f>
        <v>10.1016/j.biocon.2019.04.011</v>
      </c>
    </row>
    <row r="98" spans="1:9" x14ac:dyDescent="0.25">
      <c r="A98" t="s">
        <v>2762</v>
      </c>
      <c r="B98" t="str">
        <f>VLOOKUP($A98,articles_2026_01_26!$A$2:$U$737,11,FALSE)</f>
        <v>Fortnam, M. and Chaigneau, T. and Evans, L. and Bastian, L.</v>
      </c>
      <c r="C98">
        <f>VLOOKUP($A98,articles_2026_01_26!$A$2:$U$737,3,FALSE)</f>
        <v>2023</v>
      </c>
      <c r="D98" t="str">
        <f>VLOOKUP($A98,articles_2026_01_26!$A$2:$U$737,2,FALSE)</f>
        <v>Practitioner approaches to trade-off decision-making in marine conservation development</v>
      </c>
      <c r="E98" t="str">
        <f>VLOOKUP($A98,articles_2026_01_26!$A$2:$U$737,6,FALSE)</f>
        <v>People and Nature</v>
      </c>
      <c r="F98">
        <f>VLOOKUP($A98,articles_2026_01_26!$A$2:$U$737,8,FALSE)</f>
        <v>5</v>
      </c>
      <c r="G98">
        <f>VLOOKUP($A98,articles_2026_01_26!$A$2:$U$737,9,FALSE)</f>
        <v>5</v>
      </c>
      <c r="H98" t="str">
        <f>VLOOKUP($A98,articles_2026_01_26!$A$2:$U$737,10,FALSE)</f>
        <v>1636-1648</v>
      </c>
      <c r="I98" t="str">
        <f>VLOOKUP($A98,articles_2026_01_26!$A$2:$U$737,18,FALSE)</f>
        <v>10.1002/pan3.10530</v>
      </c>
    </row>
    <row r="99" spans="1:9" x14ac:dyDescent="0.25">
      <c r="A99" t="s">
        <v>2813</v>
      </c>
      <c r="B99" t="str">
        <f>VLOOKUP($A99,articles_2026_01_26!$A$2:$U$737,11,FALSE)</f>
        <v>White, T.B. and Mukherjee, N. and Petrovan, S.O. and Sutherland, W.J.</v>
      </c>
      <c r="C99">
        <f>VLOOKUP($A99,articles_2026_01_26!$A$2:$U$737,3,FALSE)</f>
        <v>2023</v>
      </c>
      <c r="D99" t="str">
        <f>VLOOKUP($A99,articles_2026_01_26!$A$2:$U$737,2,FALSE)</f>
        <v>Identifying opportunities to deliver effective and efficient outcomes from business-biodiversity action</v>
      </c>
      <c r="E99" t="str">
        <f>VLOOKUP($A99,articles_2026_01_26!$A$2:$U$737,6,FALSE)</f>
        <v>Environmental Science and Policy</v>
      </c>
      <c r="F99">
        <f>VLOOKUP($A99,articles_2026_01_26!$A$2:$U$737,8,FALSE)</f>
        <v>140</v>
      </c>
      <c r="G99">
        <f>VLOOKUP($A99,articles_2026_01_26!$A$2:$U$737,9,FALSE)</f>
        <v>0</v>
      </c>
      <c r="H99" t="str">
        <f>VLOOKUP($A99,articles_2026_01_26!$A$2:$U$737,10,FALSE)</f>
        <v>221-231</v>
      </c>
      <c r="I99" t="str">
        <f>VLOOKUP($A99,articles_2026_01_26!$A$2:$U$737,18,FALSE)</f>
        <v>10.1016/j.envsci.2022.12.003</v>
      </c>
    </row>
    <row r="100" spans="1:9" x14ac:dyDescent="0.25">
      <c r="A100" t="s">
        <v>3028</v>
      </c>
      <c r="B100" t="str">
        <f>VLOOKUP($A100,articles_2026_01_26!$A$2:$U$737,11,FALSE)</f>
        <v>Cook, C.N. and Carter, R.W.B. and Fuller, R.A. and Hockings, M.</v>
      </c>
      <c r="C100">
        <f>VLOOKUP($A100,articles_2026_01_26!$A$2:$U$737,3,FALSE)</f>
        <v>2012</v>
      </c>
      <c r="D100" t="str">
        <f>VLOOKUP($A100,articles_2026_01_26!$A$2:$U$737,2,FALSE)</f>
        <v>Managers consider multiple lines of evidence important for biodiversity management decisions</v>
      </c>
      <c r="E100" t="str">
        <f>VLOOKUP($A100,articles_2026_01_26!$A$2:$U$737,6,FALSE)</f>
        <v>Journal of Environmental Management</v>
      </c>
      <c r="F100">
        <f>VLOOKUP($A100,articles_2026_01_26!$A$2:$U$737,8,FALSE)</f>
        <v>113</v>
      </c>
      <c r="G100">
        <f>VLOOKUP($A100,articles_2026_01_26!$A$2:$U$737,9,FALSE)</f>
        <v>0</v>
      </c>
      <c r="H100" t="str">
        <f>VLOOKUP($A100,articles_2026_01_26!$A$2:$U$737,10,FALSE)</f>
        <v>341-346</v>
      </c>
      <c r="I100" t="str">
        <f>VLOOKUP($A100,articles_2026_01_26!$A$2:$U$737,18,FALSE)</f>
        <v>10.1016/j.jenvman.2012.09.002</v>
      </c>
    </row>
    <row r="101" spans="1:9" x14ac:dyDescent="0.25">
      <c r="A101" t="s">
        <v>3036</v>
      </c>
      <c r="B101" t="str">
        <f>VLOOKUP($A101,articles_2026_01_26!$A$2:$U$737,11,FALSE)</f>
        <v>Pullin, A.S. and Knight, T.M.</v>
      </c>
      <c r="C101">
        <f>VLOOKUP($A101,articles_2026_01_26!$A$2:$U$737,3,FALSE)</f>
        <v>2005</v>
      </c>
      <c r="D101" t="str">
        <f>VLOOKUP($A101,articles_2026_01_26!$A$2:$U$737,2,FALSE)</f>
        <v>Assessing conservation management's evidence base: A survey of management-plan compilers in the United Kingdom and Australia</v>
      </c>
      <c r="E101" t="str">
        <f>VLOOKUP($A101,articles_2026_01_26!$A$2:$U$737,6,FALSE)</f>
        <v>Conservation Biology</v>
      </c>
      <c r="F101">
        <f>VLOOKUP($A101,articles_2026_01_26!$A$2:$U$737,8,FALSE)</f>
        <v>19</v>
      </c>
      <c r="G101">
        <f>VLOOKUP($A101,articles_2026_01_26!$A$2:$U$737,9,FALSE)</f>
        <v>6</v>
      </c>
      <c r="H101" t="str">
        <f>VLOOKUP($A101,articles_2026_01_26!$A$2:$U$737,10,FALSE)</f>
        <v>1989-1996</v>
      </c>
      <c r="I101" t="str">
        <f>VLOOKUP($A101,articles_2026_01_26!$A$2:$U$737,18,FALSE)</f>
        <v>10.1111/j.1523-1739.2005.00287.x</v>
      </c>
    </row>
    <row r="102" spans="1:9" x14ac:dyDescent="0.25">
      <c r="A102" t="s">
        <v>3043</v>
      </c>
      <c r="B102" t="str">
        <f>VLOOKUP($A102,articles_2026_01_26!$A$2:$U$737,11,FALSE)</f>
        <v>Dubois, N.S. and Safford, K. and Hansen, L. and Roberts, A. and Carlson, S.</v>
      </c>
      <c r="C102">
        <f>VLOOKUP($A102,articles_2026_01_26!$A$2:$U$737,3,FALSE)</f>
        <v>2024</v>
      </c>
      <c r="D102" t="str">
        <f>VLOOKUP($A102,articles_2026_01_26!$A$2:$U$737,2,FALSE)</f>
        <v>Using technical assistance to bridge evidence-to-action gaps in biodiversity conservation</v>
      </c>
      <c r="E102" t="str">
        <f>VLOOKUP($A102,articles_2026_01_26!$A$2:$U$737,6,FALSE)</f>
        <v>Conservation Science and Practice</v>
      </c>
      <c r="F102">
        <f>VLOOKUP($A102,articles_2026_01_26!$A$2:$U$737,8,FALSE)</f>
        <v>6</v>
      </c>
      <c r="G102">
        <f>VLOOKUP($A102,articles_2026_01_26!$A$2:$U$737,9,FALSE)</f>
        <v>10</v>
      </c>
      <c r="H102">
        <f>VLOOKUP($A102,articles_2026_01_26!$A$2:$U$737,10,FALSE)</f>
        <v>0</v>
      </c>
      <c r="I102" t="str">
        <f>VLOOKUP($A102,articles_2026_01_26!$A$2:$U$737,18,FALSE)</f>
        <v>10.1111/csp2.13234</v>
      </c>
    </row>
    <row r="103" spans="1:9" x14ac:dyDescent="0.25">
      <c r="A103" t="s">
        <v>3098</v>
      </c>
      <c r="B103" t="str">
        <f>VLOOKUP($A103,articles_2026_01_26!$A$2:$U$737,11,FALSE)</f>
        <v>Wright, A.D. and Bernard, R.F. and Mosher, B.A. and O'Donnell, K.M. and Braunagel, T. and DiRenzo, G.V. and Fleming, J. and Shafer, C. and Brand, A.B. and Zipkin, E.F. and Campbell Grant, E.H.</v>
      </c>
      <c r="C103">
        <f>VLOOKUP($A103,articles_2026_01_26!$A$2:$U$737,3,FALSE)</f>
        <v>2020</v>
      </c>
      <c r="D103" t="str">
        <f>VLOOKUP($A103,articles_2026_01_26!$A$2:$U$737,2,FALSE)</f>
        <v>Moving from decision to action in conservation science</v>
      </c>
      <c r="E103" t="str">
        <f>VLOOKUP($A103,articles_2026_01_26!$A$2:$U$737,6,FALSE)</f>
        <v>Biological Conservation</v>
      </c>
      <c r="F103">
        <f>VLOOKUP($A103,articles_2026_01_26!$A$2:$U$737,8,FALSE)</f>
        <v>249</v>
      </c>
      <c r="G103">
        <f>VLOOKUP($A103,articles_2026_01_26!$A$2:$U$737,9,FALSE)</f>
        <v>0</v>
      </c>
      <c r="H103">
        <f>VLOOKUP($A103,articles_2026_01_26!$A$2:$U$737,10,FALSE)</f>
        <v>0</v>
      </c>
      <c r="I103" t="str">
        <f>VLOOKUP($A103,articles_2026_01_26!$A$2:$U$737,18,FALSE)</f>
        <v>10.1016/j.biocon.2020.108698</v>
      </c>
    </row>
    <row r="104" spans="1:9" x14ac:dyDescent="0.25">
      <c r="A104" t="s">
        <v>3142</v>
      </c>
      <c r="B104" t="str">
        <f>VLOOKUP($A104,articles_2026_01_26!$A$2:$U$737,11,FALSE)</f>
        <v>Hagell, S. and Ribic, C.A.</v>
      </c>
      <c r="C104">
        <f>VLOOKUP($A104,articles_2026_01_26!$A$2:$U$737,3,FALSE)</f>
        <v>2014</v>
      </c>
      <c r="D104" t="str">
        <f>VLOOKUP($A104,articles_2026_01_26!$A$2:$U$737,2,FALSE)</f>
        <v>Barriers to climate-adaptive management: A survey of wildlife researchers and managers in Wisconsin</v>
      </c>
      <c r="E104" t="str">
        <f>VLOOKUP($A104,articles_2026_01_26!$A$2:$U$737,6,FALSE)</f>
        <v>Wildlife Society Bulletin</v>
      </c>
      <c r="F104">
        <f>VLOOKUP($A104,articles_2026_01_26!$A$2:$U$737,8,FALSE)</f>
        <v>38</v>
      </c>
      <c r="G104">
        <f>VLOOKUP($A104,articles_2026_01_26!$A$2:$U$737,9,FALSE)</f>
        <v>4</v>
      </c>
      <c r="H104" t="str">
        <f>VLOOKUP($A104,articles_2026_01_26!$A$2:$U$737,10,FALSE)</f>
        <v>672-681</v>
      </c>
      <c r="I104" t="str">
        <f>VLOOKUP($A104,articles_2026_01_26!$A$2:$U$737,18,FALSE)</f>
        <v>10.1002/wsb.459</v>
      </c>
    </row>
    <row r="105" spans="1:9" x14ac:dyDescent="0.25">
      <c r="A105" t="s">
        <v>3189</v>
      </c>
      <c r="B105" t="str">
        <f>VLOOKUP($A105,articles_2026_01_26!$A$2:$U$737,11,FALSE)</f>
        <v>Pullin, A.S. and Knight, T.M. and Stone, D.A. and Charman, K.</v>
      </c>
      <c r="C105">
        <f>VLOOKUP($A105,articles_2026_01_26!$A$2:$U$737,3,FALSE)</f>
        <v>2004</v>
      </c>
      <c r="D105" t="str">
        <f>VLOOKUP($A105,articles_2026_01_26!$A$2:$U$737,2,FALSE)</f>
        <v>Do conservation managers use scientific evidence to support their decision-making?</v>
      </c>
      <c r="E105" t="str">
        <f>VLOOKUP($A105,articles_2026_01_26!$A$2:$U$737,6,FALSE)</f>
        <v>Biological Conservation</v>
      </c>
      <c r="F105">
        <f>VLOOKUP($A105,articles_2026_01_26!$A$2:$U$737,8,FALSE)</f>
        <v>119</v>
      </c>
      <c r="G105">
        <f>VLOOKUP($A105,articles_2026_01_26!$A$2:$U$737,9,FALSE)</f>
        <v>2</v>
      </c>
      <c r="H105" t="str">
        <f>VLOOKUP($A105,articles_2026_01_26!$A$2:$U$737,10,FALSE)</f>
        <v>245-252</v>
      </c>
      <c r="I105" t="str">
        <f>VLOOKUP($A105,articles_2026_01_26!$A$2:$U$737,18,FALSE)</f>
        <v>10.1016/j.biocon.2003.11.007</v>
      </c>
    </row>
    <row r="106" spans="1:9" x14ac:dyDescent="0.25">
      <c r="A106" t="s">
        <v>3241</v>
      </c>
      <c r="B106" t="str">
        <f>VLOOKUP($A106,articles_2026_01_26!$A$2:$U$737,11,FALSE)</f>
        <v>LÃ³pez-RodrÃ­guez, M.D. and Castro, H. and Arenas, M. and Requena-Mullor, J.M. and Cano, A. and Valenzuela, E. and Cabello, J.</v>
      </c>
      <c r="C106">
        <f>VLOOKUP($A106,articles_2026_01_26!$A$2:$U$737,3,FALSE)</f>
        <v>2017</v>
      </c>
      <c r="D106" t="str">
        <f>VLOOKUP($A106,articles_2026_01_26!$A$2:$U$737,2,FALSE)</f>
        <v>Exploring Institutional Mechanisms for Scientific Input into the Management Cycle of the National Protected Area Network of Peru: Gaps and Opportunities</v>
      </c>
      <c r="E106" t="str">
        <f>VLOOKUP($A106,articles_2026_01_26!$A$2:$U$737,6,FALSE)</f>
        <v>Environmental Management</v>
      </c>
      <c r="F106">
        <f>VLOOKUP($A106,articles_2026_01_26!$A$2:$U$737,8,FALSE)</f>
        <v>60</v>
      </c>
      <c r="G106">
        <f>VLOOKUP($A106,articles_2026_01_26!$A$2:$U$737,9,FALSE)</f>
        <v>6</v>
      </c>
      <c r="H106" t="str">
        <f>VLOOKUP($A106,articles_2026_01_26!$A$2:$U$737,10,FALSE)</f>
        <v>1022-1041</v>
      </c>
      <c r="I106" t="str">
        <f>VLOOKUP($A106,articles_2026_01_26!$A$2:$U$737,18,FALSE)</f>
        <v>10.1007/s00267-017-0929-x</v>
      </c>
    </row>
    <row r="107" spans="1:9" x14ac:dyDescent="0.25">
      <c r="A107" t="s">
        <v>3264</v>
      </c>
      <c r="B107" t="str">
        <f>VLOOKUP($A107,articles_2026_01_26!$A$2:$U$737,11,FALSE)</f>
        <v>Dedual, M. and Sague Pla, O. and Arlinghaus, R. and Clarke, A. and Ferter, K. and Geertz Hansen, P. and Gerdeaux, D. and Hames, F. and Kennelly, S.J. and Kleiven, A.R. and Meraner, A. and UeberschÃ¤r, B.</v>
      </c>
      <c r="C107">
        <f>VLOOKUP($A107,articles_2026_01_26!$A$2:$U$737,3,FALSE)</f>
        <v>2013</v>
      </c>
      <c r="D107" t="str">
        <f>VLOOKUP($A107,articles_2026_01_26!$A$2:$U$737,2,FALSE)</f>
        <v>Communication between scientists, fishery managers and recreational fishers: Lessons learned from a comparative analysis of international case studies</v>
      </c>
      <c r="E107" t="str">
        <f>VLOOKUP($A107,articles_2026_01_26!$A$2:$U$737,6,FALSE)</f>
        <v>Fisheries Management and Ecology</v>
      </c>
      <c r="F107">
        <f>VLOOKUP($A107,articles_2026_01_26!$A$2:$U$737,8,FALSE)</f>
        <v>20</v>
      </c>
      <c r="G107">
        <f>VLOOKUP($A107,articles_2026_01_26!$A$2:$U$737,9,FALSE)</f>
        <v>2</v>
      </c>
      <c r="H107" t="str">
        <f>VLOOKUP($A107,articles_2026_01_26!$A$2:$U$737,10,FALSE)</f>
        <v>234-246</v>
      </c>
      <c r="I107" t="str">
        <f>VLOOKUP($A107,articles_2026_01_26!$A$2:$U$737,18,FALSE)</f>
        <v>10.1111/fme.12001</v>
      </c>
    </row>
    <row r="108" spans="1:9" x14ac:dyDescent="0.25">
      <c r="A108" t="s">
        <v>3315</v>
      </c>
      <c r="B108" t="str">
        <f>VLOOKUP($A108,articles_2026_01_26!$A$2:$U$737,11,FALSE)</f>
        <v>Toomey, A.H.</v>
      </c>
      <c r="C108">
        <f>VLOOKUP($A108,articles_2026_01_26!$A$2:$U$737,3,FALSE)</f>
        <v>2016</v>
      </c>
      <c r="D108" t="str">
        <f>VLOOKUP($A108,articles_2026_01_26!$A$2:$U$737,2,FALSE)</f>
        <v>What happens at the gap between knowledge and practice? Spaces of encounter and misencounter between environmental scientists and local people</v>
      </c>
      <c r="E108" t="str">
        <f>VLOOKUP($A108,articles_2026_01_26!$A$2:$U$737,6,FALSE)</f>
        <v>Ecology and Society</v>
      </c>
      <c r="F108">
        <f>VLOOKUP($A108,articles_2026_01_26!$A$2:$U$737,8,FALSE)</f>
        <v>21</v>
      </c>
      <c r="G108">
        <f>VLOOKUP($A108,articles_2026_01_26!$A$2:$U$737,9,FALSE)</f>
        <v>2</v>
      </c>
      <c r="H108">
        <f>VLOOKUP($A108,articles_2026_01_26!$A$2:$U$737,10,FALSE)</f>
        <v>0</v>
      </c>
      <c r="I108" t="str">
        <f>VLOOKUP($A108,articles_2026_01_26!$A$2:$U$737,18,FALSE)</f>
        <v>10.5751/ES-08409-210228</v>
      </c>
    </row>
    <row r="109" spans="1:9" x14ac:dyDescent="0.25">
      <c r="A109" t="s">
        <v>3355</v>
      </c>
      <c r="B109" t="str">
        <f>VLOOKUP($A109,articles_2026_01_26!$A$2:$U$737,11,FALSE)</f>
        <v>Weiss, K. and Hamann, M. and Kinney, M. and Marsh, H.</v>
      </c>
      <c r="C109">
        <f>VLOOKUP($A109,articles_2026_01_26!$A$2:$U$737,3,FALSE)</f>
        <v>2012</v>
      </c>
      <c r="D109" t="str">
        <f>VLOOKUP($A109,articles_2026_01_26!$A$2:$U$737,2,FALSE)</f>
        <v>Knowledge exchange and policy influence in a marine resource governance network</v>
      </c>
      <c r="E109" t="str">
        <f>VLOOKUP($A109,articles_2026_01_26!$A$2:$U$737,6,FALSE)</f>
        <v>Global Environmental Change</v>
      </c>
      <c r="F109">
        <f>VLOOKUP($A109,articles_2026_01_26!$A$2:$U$737,8,FALSE)</f>
        <v>22</v>
      </c>
      <c r="G109">
        <f>VLOOKUP($A109,articles_2026_01_26!$A$2:$U$737,9,FALSE)</f>
        <v>1</v>
      </c>
      <c r="H109" t="str">
        <f>VLOOKUP($A109,articles_2026_01_26!$A$2:$U$737,10,FALSE)</f>
        <v>178-188</v>
      </c>
      <c r="I109" t="str">
        <f>VLOOKUP($A109,articles_2026_01_26!$A$2:$U$737,18,FALSE)</f>
        <v>10.1016/j.gloenvcha.2011.09.007</v>
      </c>
    </row>
    <row r="110" spans="1:9" x14ac:dyDescent="0.25">
      <c r="A110" t="s">
        <v>3387</v>
      </c>
      <c r="B110" t="str">
        <f>VLOOKUP($A110,articles_2026_01_26!$A$2:$U$737,11,FALSE)</f>
        <v>Bouska, K.L. and Lindner, G.A. and Paukert, C.P. and Jacobson, R.B.</v>
      </c>
      <c r="C110">
        <f>VLOOKUP($A110,articles_2026_01_26!$A$2:$U$737,3,FALSE)</f>
        <v>2016</v>
      </c>
      <c r="D110" t="str">
        <f>VLOOKUP($A110,articles_2026_01_26!$A$2:$U$737,2,FALSE)</f>
        <v>Stakeholder-led science: Engaging resource managers to identify science needs for long-term management of floodplain conservation lands</v>
      </c>
      <c r="E110" t="str">
        <f>VLOOKUP($A110,articles_2026_01_26!$A$2:$U$737,6,FALSE)</f>
        <v>Ecology and Society</v>
      </c>
      <c r="F110">
        <f>VLOOKUP($A110,articles_2026_01_26!$A$2:$U$737,8,FALSE)</f>
        <v>21</v>
      </c>
      <c r="G110">
        <f>VLOOKUP($A110,articles_2026_01_26!$A$2:$U$737,9,FALSE)</f>
        <v>3</v>
      </c>
      <c r="H110">
        <f>VLOOKUP($A110,articles_2026_01_26!$A$2:$U$737,10,FALSE)</f>
        <v>0</v>
      </c>
      <c r="I110" t="str">
        <f>VLOOKUP($A110,articles_2026_01_26!$A$2:$U$737,18,FALSE)</f>
        <v>10.5751/ES-08620-210312</v>
      </c>
    </row>
    <row r="111" spans="1:9" x14ac:dyDescent="0.25">
      <c r="A111" t="s">
        <v>3424</v>
      </c>
      <c r="B111" t="str">
        <f>VLOOKUP($A111,articles_2026_01_26!$A$2:$U$737,11,FALSE)</f>
        <v>Dana, G.V. and Kapuscinski, A.R. and Donaldson, J.S.</v>
      </c>
      <c r="C111">
        <f>VLOOKUP($A111,articles_2026_01_26!$A$2:$U$737,3,FALSE)</f>
        <v>2012</v>
      </c>
      <c r="D111" t="str">
        <f>VLOOKUP($A111,articles_2026_01_26!$A$2:$U$737,2,FALSE)</f>
        <v>Integrating diverse scientific and practitioner knowledge in ecological risk analysis: A case study of biodiversity risk assessment in South Africa</v>
      </c>
      <c r="E111" t="str">
        <f>VLOOKUP($A111,articles_2026_01_26!$A$2:$U$737,6,FALSE)</f>
        <v>Journal of Environmental Management</v>
      </c>
      <c r="F111">
        <f>VLOOKUP($A111,articles_2026_01_26!$A$2:$U$737,8,FALSE)</f>
        <v>98</v>
      </c>
      <c r="G111">
        <f>VLOOKUP($A111,articles_2026_01_26!$A$2:$U$737,9,FALSE)</f>
        <v>1</v>
      </c>
      <c r="H111" t="str">
        <f>VLOOKUP($A111,articles_2026_01_26!$A$2:$U$737,10,FALSE)</f>
        <v>134-146</v>
      </c>
      <c r="I111" t="str">
        <f>VLOOKUP($A111,articles_2026_01_26!$A$2:$U$737,18,FALSE)</f>
        <v>10.1016/j.jenvman.2011.12.021</v>
      </c>
    </row>
    <row r="112" spans="1:9" x14ac:dyDescent="0.25">
      <c r="A112" t="s">
        <v>3462</v>
      </c>
      <c r="B112" t="str">
        <f>VLOOKUP($A112,articles_2026_01_26!$A$2:$U$737,11,FALSE)</f>
        <v>de Jong, F.</v>
      </c>
      <c r="C112">
        <f>VLOOKUP($A112,articles_2026_01_26!$A$2:$U$737,3,FALSE)</f>
        <v>2016</v>
      </c>
      <c r="D112" t="str">
        <f>VLOOKUP($A112,articles_2026_01_26!$A$2:$U$737,2,FALSE)</f>
        <v>Ecological knowledge and North Sea environmental policies</v>
      </c>
      <c r="E112" t="str">
        <f>VLOOKUP($A112,articles_2026_01_26!$A$2:$U$737,6,FALSE)</f>
        <v>Environmental Science and Policy</v>
      </c>
      <c r="F112">
        <f>VLOOKUP($A112,articles_2026_01_26!$A$2:$U$737,8,FALSE)</f>
        <v>55</v>
      </c>
      <c r="G112">
        <f>VLOOKUP($A112,articles_2026_01_26!$A$2:$U$737,9,FALSE)</f>
        <v>0</v>
      </c>
      <c r="H112" t="str">
        <f>VLOOKUP($A112,articles_2026_01_26!$A$2:$U$737,10,FALSE)</f>
        <v>449-455</v>
      </c>
      <c r="I112" t="str">
        <f>VLOOKUP($A112,articles_2026_01_26!$A$2:$U$737,18,FALSE)</f>
        <v>10.1016/j.envsci.2015.08.018</v>
      </c>
    </row>
    <row r="113" spans="1:9" x14ac:dyDescent="0.25">
      <c r="A113" t="s">
        <v>3502</v>
      </c>
      <c r="B113" t="str">
        <f>VLOOKUP($A113,articles_2026_01_26!$A$2:$U$737,11,FALSE)</f>
        <v>Rose, D.C. and Sutherland, W.J. and Amano, T. and GonzÃ¡lez-Varo, J.P. and Robertson, R.J. and Simmons, B.I. and Wauchope, H.S. and Kovacs, E. and DurÃ¡n, A.P. and Vadrot, A.B.M. and Wu, W. and Dias, M.P. and Di Fonzo, M.M.I. and Ivory, S. and Norris, L. and Nunes, M.H. and Nyumba, T.O. and Steiner, N. and Vickery, J. and Mukherjee, N.</v>
      </c>
      <c r="C113">
        <f>VLOOKUP($A113,articles_2026_01_26!$A$2:$U$737,3,FALSE)</f>
        <v>2018</v>
      </c>
      <c r="D113" t="str">
        <f>VLOOKUP($A113,articles_2026_01_26!$A$2:$U$737,2,FALSE)</f>
        <v>The major barriers to evidence-informed conservation policy and possible solutions</v>
      </c>
      <c r="E113" t="str">
        <f>VLOOKUP($A113,articles_2026_01_26!$A$2:$U$737,6,FALSE)</f>
        <v>Conservation Letters</v>
      </c>
      <c r="F113">
        <f>VLOOKUP($A113,articles_2026_01_26!$A$2:$U$737,8,FALSE)</f>
        <v>11</v>
      </c>
      <c r="G113">
        <f>VLOOKUP($A113,articles_2026_01_26!$A$2:$U$737,9,FALSE)</f>
        <v>5</v>
      </c>
      <c r="H113">
        <f>VLOOKUP($A113,articles_2026_01_26!$A$2:$U$737,10,FALSE)</f>
        <v>0</v>
      </c>
      <c r="I113" t="str">
        <f>VLOOKUP($A113,articles_2026_01_26!$A$2:$U$737,18,FALSE)</f>
        <v>10.1111/conl.12564</v>
      </c>
    </row>
    <row r="114" spans="1:9" x14ac:dyDescent="0.25">
      <c r="A114" t="s">
        <v>3696</v>
      </c>
      <c r="B114" t="str">
        <f>VLOOKUP($A114,articles_2026_01_26!$A$2:$U$737,11,FALSE)</f>
        <v>Van Wyk, E. and Roux, D.J. and Drackner, M. and McCool, S.F.</v>
      </c>
      <c r="C114">
        <f>VLOOKUP($A114,articles_2026_01_26!$A$2:$U$737,3,FALSE)</f>
        <v>2008</v>
      </c>
      <c r="D114" t="str">
        <f>VLOOKUP($A114,articles_2026_01_26!$A$2:$U$737,2,FALSE)</f>
        <v>The impact of scientific information on ecosystem management: Making sense of the contextual gap between information providers and decision makers</v>
      </c>
      <c r="E114" t="str">
        <f>VLOOKUP($A114,articles_2026_01_26!$A$2:$U$737,6,FALSE)</f>
        <v>Environmental Management</v>
      </c>
      <c r="F114">
        <f>VLOOKUP($A114,articles_2026_01_26!$A$2:$U$737,8,FALSE)</f>
        <v>41</v>
      </c>
      <c r="G114">
        <f>VLOOKUP($A114,articles_2026_01_26!$A$2:$U$737,9,FALSE)</f>
        <v>5</v>
      </c>
      <c r="H114" t="str">
        <f>VLOOKUP($A114,articles_2026_01_26!$A$2:$U$737,10,FALSE)</f>
        <v>779-791</v>
      </c>
      <c r="I114" t="str">
        <f>VLOOKUP($A114,articles_2026_01_26!$A$2:$U$737,18,FALSE)</f>
        <v>10.1007/s00267-008-9084-8</v>
      </c>
    </row>
    <row r="115" spans="1:9" x14ac:dyDescent="0.25">
      <c r="A115" t="s">
        <v>3750</v>
      </c>
      <c r="B115" t="str">
        <f>VLOOKUP($A115,articles_2026_01_26!$A$2:$U$737,11,FALSE)</f>
        <v>Kiatkoski Kim, M. and Evans, L. and Scherl, L.M. and Marsh, H.</v>
      </c>
      <c r="C115">
        <f>VLOOKUP($A115,articles_2026_01_26!$A$2:$U$737,3,FALSE)</f>
        <v>2016</v>
      </c>
      <c r="D115" t="str">
        <f>VLOOKUP($A115,articles_2026_01_26!$A$2:$U$737,2,FALSE)</f>
        <v>The User, not the Tool: Perceptions of Credibility and Relevance Affect the Uptake of Prioritisation</v>
      </c>
      <c r="E115" t="str">
        <f>VLOOKUP($A115,articles_2026_01_26!$A$2:$U$737,6,FALSE)</f>
        <v>Environmental Management</v>
      </c>
      <c r="F115">
        <f>VLOOKUP($A115,articles_2026_01_26!$A$2:$U$737,8,FALSE)</f>
        <v>57</v>
      </c>
      <c r="G115">
        <f>VLOOKUP($A115,articles_2026_01_26!$A$2:$U$737,9,FALSE)</f>
        <v>4</v>
      </c>
      <c r="H115" t="str">
        <f>VLOOKUP($A115,articles_2026_01_26!$A$2:$U$737,10,FALSE)</f>
        <v>836-846</v>
      </c>
      <c r="I115" t="str">
        <f>VLOOKUP($A115,articles_2026_01_26!$A$2:$U$737,18,FALSE)</f>
        <v>10.1007/s00267-015-0653-3</v>
      </c>
    </row>
    <row r="116" spans="1:9" x14ac:dyDescent="0.25">
      <c r="A116" t="s">
        <v>3852</v>
      </c>
      <c r="B116" t="str">
        <f>VLOOKUP($A116,articles_2026_01_26!$A$2:$U$737,11,FALSE)</f>
        <v>Rose, D.C. and Brotherton, P.N.M. and Owens, S. and Pryke, T.</v>
      </c>
      <c r="C116">
        <f>VLOOKUP($A116,articles_2026_01_26!$A$2:$U$737,3,FALSE)</f>
        <v>2018</v>
      </c>
      <c r="D116" t="str">
        <f>VLOOKUP($A116,articles_2026_01_26!$A$2:$U$737,2,FALSE)</f>
        <v>Honest advocacy for nature: presenting a persuasive narrative for conservation</v>
      </c>
      <c r="E116" t="str">
        <f>VLOOKUP($A116,articles_2026_01_26!$A$2:$U$737,6,FALSE)</f>
        <v>Biodiversity and Conservation</v>
      </c>
      <c r="F116">
        <f>VLOOKUP($A116,articles_2026_01_26!$A$2:$U$737,8,FALSE)</f>
        <v>27</v>
      </c>
      <c r="G116">
        <f>VLOOKUP($A116,articles_2026_01_26!$A$2:$U$737,9,FALSE)</f>
        <v>7</v>
      </c>
      <c r="H116" t="str">
        <f>VLOOKUP($A116,articles_2026_01_26!$A$2:$U$737,10,FALSE)</f>
        <v>1703-1723</v>
      </c>
      <c r="I116" t="str">
        <f>VLOOKUP($A116,articles_2026_01_26!$A$2:$U$737,18,FALSE)</f>
        <v>10.1007/s10531-016-1163-1</v>
      </c>
    </row>
    <row r="117" spans="1:9" x14ac:dyDescent="0.25">
      <c r="A117" t="s">
        <v>3860</v>
      </c>
      <c r="B117" t="str">
        <f>VLOOKUP($A117,articles_2026_01_26!$A$2:$U$737,11,FALSE)</f>
        <v>Karam-Gemael, M. and Loyola, R. and Penha, J. and Izzo, T.</v>
      </c>
      <c r="C117">
        <f>VLOOKUP($A117,articles_2026_01_26!$A$2:$U$737,3,FALSE)</f>
        <v>2018</v>
      </c>
      <c r="D117" t="str">
        <f>VLOOKUP($A117,articles_2026_01_26!$A$2:$U$737,2,FALSE)</f>
        <v>Poor alignment of priorities between scientists and policymakers highlights the need for evidence-informed conservation in Brazil</v>
      </c>
      <c r="E117" t="str">
        <f>VLOOKUP($A117,articles_2026_01_26!$A$2:$U$737,6,FALSE)</f>
        <v>Perspectives in Ecology and Conservation</v>
      </c>
      <c r="F117">
        <f>VLOOKUP($A117,articles_2026_01_26!$A$2:$U$737,8,FALSE)</f>
        <v>16</v>
      </c>
      <c r="G117">
        <f>VLOOKUP($A117,articles_2026_01_26!$A$2:$U$737,9,FALSE)</f>
        <v>3</v>
      </c>
      <c r="H117" t="str">
        <f>VLOOKUP($A117,articles_2026_01_26!$A$2:$U$737,10,FALSE)</f>
        <v>125-132</v>
      </c>
      <c r="I117" t="str">
        <f>VLOOKUP($A117,articles_2026_01_26!$A$2:$U$737,18,FALSE)</f>
        <v>10.1016/j.pecon.2018.06.002</v>
      </c>
    </row>
    <row r="118" spans="1:9" x14ac:dyDescent="0.25">
      <c r="A118" t="s">
        <v>3908</v>
      </c>
      <c r="B118" t="str">
        <f>VLOOKUP($A118,articles_2026_01_26!$A$2:$U$737,11,FALSE)</f>
        <v>Young, K.D. and Van Aarde, R.J.</v>
      </c>
      <c r="C118">
        <f>VLOOKUP($A118,articles_2026_01_26!$A$2:$U$737,3,FALSE)</f>
        <v>2011</v>
      </c>
      <c r="D118" t="str">
        <f>VLOOKUP($A118,articles_2026_01_26!$A$2:$U$737,2,FALSE)</f>
        <v>Science and elephant management decisions in South Africa</v>
      </c>
      <c r="E118" t="str">
        <f>VLOOKUP($A118,articles_2026_01_26!$A$2:$U$737,6,FALSE)</f>
        <v>Biological Conservation</v>
      </c>
      <c r="F118">
        <f>VLOOKUP($A118,articles_2026_01_26!$A$2:$U$737,8,FALSE)</f>
        <v>144</v>
      </c>
      <c r="G118">
        <f>VLOOKUP($A118,articles_2026_01_26!$A$2:$U$737,9,FALSE)</f>
        <v>2</v>
      </c>
      <c r="H118" t="str">
        <f>VLOOKUP($A118,articles_2026_01_26!$A$2:$U$737,10,FALSE)</f>
        <v>876-885</v>
      </c>
      <c r="I118" t="str">
        <f>VLOOKUP($A118,articles_2026_01_26!$A$2:$U$737,18,FALSE)</f>
        <v>10.1016/j.biocon.2010.11.023</v>
      </c>
    </row>
    <row r="119" spans="1:9" x14ac:dyDescent="0.25">
      <c r="A119" t="s">
        <v>3991</v>
      </c>
      <c r="B119" t="str">
        <f>VLOOKUP($A119,articles_2026_01_26!$A$2:$U$737,11,FALSE)</f>
        <v>Stevens, M. and Norris, D.R.</v>
      </c>
      <c r="C119">
        <f>VLOOKUP($A119,articles_2026_01_26!$A$2:$U$737,3,FALSE)</f>
        <v>2022</v>
      </c>
      <c r="D119" t="str">
        <f>VLOOKUP($A119,articles_2026_01_26!$A$2:$U$737,2,FALSE)</f>
        <v>A mixed methodology for evaluating use of evidence in conservation planning</v>
      </c>
      <c r="E119" t="str">
        <f>VLOOKUP($A119,articles_2026_01_26!$A$2:$U$737,6,FALSE)</f>
        <v>Conservation Biology</v>
      </c>
      <c r="F119">
        <f>VLOOKUP($A119,articles_2026_01_26!$A$2:$U$737,8,FALSE)</f>
        <v>36</v>
      </c>
      <c r="G119">
        <f>VLOOKUP($A119,articles_2026_01_26!$A$2:$U$737,9,FALSE)</f>
        <v>4</v>
      </c>
      <c r="H119">
        <f>VLOOKUP($A119,articles_2026_01_26!$A$2:$U$737,10,FALSE)</f>
        <v>0</v>
      </c>
      <c r="I119" t="str">
        <f>VLOOKUP($A119,articles_2026_01_26!$A$2:$U$737,18,FALSE)</f>
        <v>10.1111/cobi.13876</v>
      </c>
    </row>
    <row r="120" spans="1:9" x14ac:dyDescent="0.25">
      <c r="A120" t="s">
        <v>3924</v>
      </c>
      <c r="B120" t="str">
        <f>VLOOKUP($A120,articles_2026_01_26!$A$2:$U$737,11,FALSE)</f>
        <v>McConney, P. and Fanning, L. and Mahon, R. and Simmons, B.</v>
      </c>
      <c r="C120">
        <f>VLOOKUP($A120,articles_2026_01_26!$A$2:$U$737,3,FALSE)</f>
        <v>2016</v>
      </c>
      <c r="D120" t="str">
        <f>VLOOKUP($A120,articles_2026_01_26!$A$2:$U$737,2,FALSE)</f>
        <v>A first look at the science-policy interface for ocean governance in the Wider Caribbean Region</v>
      </c>
      <c r="E120" t="str">
        <f>VLOOKUP($A120,articles_2026_01_26!$A$2:$U$737,6,FALSE)</f>
        <v>Frontiers in Marine Science</v>
      </c>
      <c r="F120">
        <f>VLOOKUP($A120,articles_2026_01_26!$A$2:$U$737,8,FALSE)</f>
        <v>2</v>
      </c>
      <c r="G120">
        <f>VLOOKUP($A120,articles_2026_01_26!$A$2:$U$737,9,FALSE)</f>
        <v>0</v>
      </c>
      <c r="H120">
        <f>VLOOKUP($A120,articles_2026_01_26!$A$2:$U$737,10,FALSE)</f>
        <v>0</v>
      </c>
      <c r="I120" t="str">
        <f>VLOOKUP($A120,articles_2026_01_26!$A$2:$U$737,18,FALSE)</f>
        <v>10.3389/fmars.2015.00119</v>
      </c>
    </row>
    <row r="121" spans="1:9" x14ac:dyDescent="0.25">
      <c r="A121" t="s">
        <v>4120</v>
      </c>
      <c r="B121" t="str">
        <f>VLOOKUP($A121,articles_2026_01_26!$A$2:$U$737,11,FALSE)</f>
        <v>Foster, C.N. and O'Loughlin, L.S. and Sato, C.F. and Westgate, M.J. and Barton, P.S. and Pierson, J.C. and Balmer, J.M. and Catt, G. and Chapman, J. and Detto, T. and Hawcroft, A. and Jones, G. and Kavanagh, R.P. and McKay, M. and Marshall, D. and Moseby, K.E. and Perry, M. and Robinson, D. and Seddon, J.A. and Tuft, K. and Lindenmayer, D.B.</v>
      </c>
      <c r="C121">
        <f>VLOOKUP($A121,articles_2026_01_26!$A$2:$U$737,3,FALSE)</f>
        <v>2019</v>
      </c>
      <c r="D121" t="str">
        <f>VLOOKUP($A121,articles_2026_01_26!$A$2:$U$737,2,FALSE)</f>
        <v>How practitioners integrate decision triggers with existing metrics in conservation monitoring</v>
      </c>
      <c r="E121" t="str">
        <f>VLOOKUP($A121,articles_2026_01_26!$A$2:$U$737,6,FALSE)</f>
        <v>Journal of Environmental Management</v>
      </c>
      <c r="F121">
        <f>VLOOKUP($A121,articles_2026_01_26!$A$2:$U$737,8,FALSE)</f>
        <v>230</v>
      </c>
      <c r="G121">
        <f>VLOOKUP($A121,articles_2026_01_26!$A$2:$U$737,9,FALSE)</f>
        <v>0</v>
      </c>
      <c r="H121" t="str">
        <f>VLOOKUP($A121,articles_2026_01_26!$A$2:$U$737,10,FALSE)</f>
        <v>94-101</v>
      </c>
      <c r="I121" t="str">
        <f>VLOOKUP($A121,articles_2026_01_26!$A$2:$U$737,18,FALSE)</f>
        <v>10.1016/j.jenvman.2018.09.067</v>
      </c>
    </row>
    <row r="122" spans="1:9" x14ac:dyDescent="0.25">
      <c r="A122" t="s">
        <v>4213</v>
      </c>
      <c r="B122" t="str">
        <f>VLOOKUP($A122,articles_2026_01_26!$A$2:$U$737,11,FALSE)</f>
        <v>Dharmawan, B. and BÃ¶cher, M. and Krott, M.</v>
      </c>
      <c r="C122">
        <f>VLOOKUP($A122,articles_2026_01_26!$A$2:$U$737,3,FALSE)</f>
        <v>2017</v>
      </c>
      <c r="D122" t="str">
        <f>VLOOKUP($A122,articles_2026_01_26!$A$2:$U$737,2,FALSE)</f>
        <v>Endangered Mangroves in Segara Anakan, Indonesia: Effective and Failed Problem-Solving Policy Advice</v>
      </c>
      <c r="E122" t="str">
        <f>VLOOKUP($A122,articles_2026_01_26!$A$2:$U$737,6,FALSE)</f>
        <v>Environmental Management</v>
      </c>
      <c r="F122">
        <f>VLOOKUP($A122,articles_2026_01_26!$A$2:$U$737,8,FALSE)</f>
        <v>60</v>
      </c>
      <c r="G122">
        <f>VLOOKUP($A122,articles_2026_01_26!$A$2:$U$737,9,FALSE)</f>
        <v>3</v>
      </c>
      <c r="H122" t="str">
        <f>VLOOKUP($A122,articles_2026_01_26!$A$2:$U$737,10,FALSE)</f>
        <v>409-421</v>
      </c>
      <c r="I122" t="str">
        <f>VLOOKUP($A122,articles_2026_01_26!$A$2:$U$737,18,FALSE)</f>
        <v>10.1007/s00267-017-0868-6</v>
      </c>
    </row>
    <row r="123" spans="1:9" x14ac:dyDescent="0.25">
      <c r="A123" t="s">
        <v>4266</v>
      </c>
      <c r="B123" t="str">
        <f>VLOOKUP($A123,articles_2026_01_26!$A$2:$U$737,11,FALSE)</f>
        <v>Zavaleta, E. and Miller, D.C. and Salafsky, N. and Fleishman, E. and Webster, M. and Gold, B. and Hulse, D. and Rowen, M. and Tabor, G. and Vanderryn, J.</v>
      </c>
      <c r="C123">
        <f>VLOOKUP($A123,articles_2026_01_26!$A$2:$U$737,3,FALSE)</f>
        <v>2008</v>
      </c>
      <c r="D123" t="str">
        <f>VLOOKUP($A123,articles_2026_01_26!$A$2:$U$737,2,FALSE)</f>
        <v>Enhancing the engagement of U.S. private foundations with conservation science</v>
      </c>
      <c r="E123" t="str">
        <f>VLOOKUP($A123,articles_2026_01_26!$A$2:$U$737,6,FALSE)</f>
        <v>Conservation Biology</v>
      </c>
      <c r="F123">
        <f>VLOOKUP($A123,articles_2026_01_26!$A$2:$U$737,8,FALSE)</f>
        <v>22</v>
      </c>
      <c r="G123">
        <f>VLOOKUP($A123,articles_2026_01_26!$A$2:$U$737,9,FALSE)</f>
        <v>6</v>
      </c>
      <c r="H123" t="str">
        <f>VLOOKUP($A123,articles_2026_01_26!$A$2:$U$737,10,FALSE)</f>
        <v>1477-1484</v>
      </c>
      <c r="I123" t="str">
        <f>VLOOKUP($A123,articles_2026_01_26!$A$2:$U$737,18,FALSE)</f>
        <v>10.1111/j.1523-1739.2008.01046.x</v>
      </c>
    </row>
    <row r="124" spans="1:9" x14ac:dyDescent="0.25">
      <c r="A124" t="s">
        <v>4367</v>
      </c>
      <c r="B124" t="str">
        <f>VLOOKUP($A124,articles_2026_01_26!$A$2:$U$737,11,FALSE)</f>
        <v>Siggery, B. and Bennion, H. and Morse, S. and Murphy, R. and Waite, M.</v>
      </c>
      <c r="C124">
        <f>VLOOKUP($A124,articles_2026_01_26!$A$2:$U$737,3,FALSE)</f>
        <v>2023</v>
      </c>
      <c r="D124" t="str">
        <f>VLOOKUP($A124,articles_2026_01_26!$A$2:$U$737,2,FALSE)</f>
        <v>Practitioner perspectives on the application of palaeoecology in nature conservation</v>
      </c>
      <c r="E124" t="str">
        <f>VLOOKUP($A124,articles_2026_01_26!$A$2:$U$737,6,FALSE)</f>
        <v>Frontiers in Ecology and Evolution</v>
      </c>
      <c r="F124">
        <f>VLOOKUP($A124,articles_2026_01_26!$A$2:$U$737,8,FALSE)</f>
        <v>11</v>
      </c>
      <c r="G124">
        <f>VLOOKUP($A124,articles_2026_01_26!$A$2:$U$737,9,FALSE)</f>
        <v>0</v>
      </c>
      <c r="H124">
        <f>VLOOKUP($A124,articles_2026_01_26!$A$2:$U$737,10,FALSE)</f>
        <v>0</v>
      </c>
      <c r="I124" t="str">
        <f>VLOOKUP($A124,articles_2026_01_26!$A$2:$U$737,18,FALSE)</f>
        <v>10.3389/fevo.2023.1304510</v>
      </c>
    </row>
    <row r="125" spans="1:9" x14ac:dyDescent="0.25">
      <c r="A125" t="s">
        <v>4475</v>
      </c>
      <c r="B125" t="str">
        <f>VLOOKUP($A125,articles_2026_01_26!$A$2:$U$737,11,FALSE)</f>
        <v>Cook, C.N. and SgrÃ², C.M.</v>
      </c>
      <c r="C125">
        <f>VLOOKUP($A125,articles_2026_01_26!$A$2:$U$737,3,FALSE)</f>
        <v>2019</v>
      </c>
      <c r="D125" t="str">
        <f>VLOOKUP($A125,articles_2026_01_26!$A$2:$U$737,2,FALSE)</f>
        <v>Poor understanding of evolutionary theory is a barrier to effective conservation management</v>
      </c>
      <c r="E125" t="str">
        <f>VLOOKUP($A125,articles_2026_01_26!$A$2:$U$737,6,FALSE)</f>
        <v>Conservation Letters</v>
      </c>
      <c r="F125">
        <f>VLOOKUP($A125,articles_2026_01_26!$A$2:$U$737,8,FALSE)</f>
        <v>12</v>
      </c>
      <c r="G125">
        <f>VLOOKUP($A125,articles_2026_01_26!$A$2:$U$737,9,FALSE)</f>
        <v>2</v>
      </c>
      <c r="H125">
        <f>VLOOKUP($A125,articles_2026_01_26!$A$2:$U$737,10,FALSE)</f>
        <v>0</v>
      </c>
      <c r="I125" t="str">
        <f>VLOOKUP($A125,articles_2026_01_26!$A$2:$U$737,18,FALSE)</f>
        <v>10.1111/conl.12619</v>
      </c>
    </row>
    <row r="126" spans="1:9" x14ac:dyDescent="0.25">
      <c r="A126" t="s">
        <v>4480</v>
      </c>
      <c r="B126" t="str">
        <f>VLOOKUP($A126,articles_2026_01_26!$A$2:$U$737,11,FALSE)</f>
        <v>Gossa, C. and Fisher, M. and Milner-Gulland, E.J.</v>
      </c>
      <c r="C126">
        <f>VLOOKUP($A126,articles_2026_01_26!$A$2:$U$737,3,FALSE)</f>
        <v>2015</v>
      </c>
      <c r="D126" t="str">
        <f>VLOOKUP($A126,articles_2026_01_26!$A$2:$U$737,2,FALSE)</f>
        <v>The research-implementation gap: How practitioners and researchers from developing countries perceive the role of peer-reviewed literature in conservation science</v>
      </c>
      <c r="E126" t="str">
        <f>VLOOKUP($A126,articles_2026_01_26!$A$2:$U$737,6,FALSE)</f>
        <v>ORYX</v>
      </c>
      <c r="F126">
        <f>VLOOKUP($A126,articles_2026_01_26!$A$2:$U$737,8,FALSE)</f>
        <v>49</v>
      </c>
      <c r="G126">
        <f>VLOOKUP($A126,articles_2026_01_26!$A$2:$U$737,9,FALSE)</f>
        <v>1</v>
      </c>
      <c r="H126" t="str">
        <f>VLOOKUP($A126,articles_2026_01_26!$A$2:$U$737,10,FALSE)</f>
        <v>80-87</v>
      </c>
      <c r="I126" t="str">
        <f>VLOOKUP($A126,articles_2026_01_26!$A$2:$U$737,18,FALSE)</f>
        <v>10.1017/S0030605313001634</v>
      </c>
    </row>
    <row r="127" spans="1:9" x14ac:dyDescent="0.25">
      <c r="A127" t="s">
        <v>4562</v>
      </c>
      <c r="B127" t="str">
        <f>VLOOKUP($A127,articles_2026_01_26!$A$2:$U$737,11,FALSE)</f>
        <v>Cvitanovic, C. and Mackay, M. and Shellock, R.J. and van Putten, E.I. and Karcher, D.B. and Dickey-Collas, M.</v>
      </c>
      <c r="C127">
        <f>VLOOKUP($A127,articles_2026_01_26!$A$2:$U$737,3,FALSE)</f>
        <v>2021</v>
      </c>
      <c r="D127" t="str">
        <f>VLOOKUP($A127,articles_2026_01_26!$A$2:$U$737,2,FALSE)</f>
        <v>Understanding and evidencing a broader range of â€˜successesâ€™ that can occur at the interface of marine science and policy</v>
      </c>
      <c r="E127" t="str">
        <f>VLOOKUP($A127,articles_2026_01_26!$A$2:$U$737,6,FALSE)</f>
        <v>Marine Policy</v>
      </c>
      <c r="F127">
        <f>VLOOKUP($A127,articles_2026_01_26!$A$2:$U$737,8,FALSE)</f>
        <v>134</v>
      </c>
      <c r="G127">
        <f>VLOOKUP($A127,articles_2026_01_26!$A$2:$U$737,9,FALSE)</f>
        <v>0</v>
      </c>
      <c r="H127">
        <f>VLOOKUP($A127,articles_2026_01_26!$A$2:$U$737,10,FALSE)</f>
        <v>0</v>
      </c>
      <c r="I127" t="str">
        <f>VLOOKUP($A127,articles_2026_01_26!$A$2:$U$737,18,FALSE)</f>
        <v>10.1016/j.marpol.2021.104802</v>
      </c>
    </row>
    <row r="128" spans="1:9" x14ac:dyDescent="0.25">
      <c r="A128" t="s">
        <v>4609</v>
      </c>
      <c r="B128" t="str">
        <f>VLOOKUP($A128,articles_2026_01_26!$A$2:$U$737,11,FALSE)</f>
        <v>Goggin, C.L. and Barrett, T. and Leys, J. and Summerell, G. and Gorrod, E. and Waters, S. and Littleboy, M. and Auld, T.D. and Drielsma, M.J. and Jenkins, B.R.</v>
      </c>
      <c r="C128">
        <f>VLOOKUP($A128,articles_2026_01_26!$A$2:$U$737,3,FALSE)</f>
        <v>2019</v>
      </c>
      <c r="D128" t="str">
        <f>VLOOKUP($A128,articles_2026_01_26!$A$2:$U$737,2,FALSE)</f>
        <v>Incorporating social dimensions in planning, managing and evaluating environmental projects</v>
      </c>
      <c r="E128" t="str">
        <f>VLOOKUP($A128,articles_2026_01_26!$A$2:$U$737,6,FALSE)</f>
        <v>Environmental Management</v>
      </c>
      <c r="F128">
        <f>VLOOKUP($A128,articles_2026_01_26!$A$2:$U$737,8,FALSE)</f>
        <v>63</v>
      </c>
      <c r="G128">
        <f>VLOOKUP($A128,articles_2026_01_26!$A$2:$U$737,9,FALSE)</f>
        <v>2</v>
      </c>
      <c r="H128" t="str">
        <f>VLOOKUP($A128,articles_2026_01_26!$A$2:$U$737,10,FALSE)</f>
        <v>215-232</v>
      </c>
      <c r="I128" t="str">
        <f>VLOOKUP($A128,articles_2026_01_26!$A$2:$U$737,18,FALSE)</f>
        <v>10.1007/s00267-018-01131-w</v>
      </c>
    </row>
    <row r="129" spans="1:9" x14ac:dyDescent="0.25">
      <c r="A129" t="s">
        <v>4680</v>
      </c>
      <c r="B129" t="str">
        <f>VLOOKUP($A129,articles_2026_01_26!$A$2:$U$737,11,FALSE)</f>
        <v>Giehl, E.L.H. and Moretti, M. and Walsh, J.C. and Batalha, M.A. and Cook, C.N.</v>
      </c>
      <c r="C129">
        <f>VLOOKUP($A129,articles_2026_01_26!$A$2:$U$737,3,FALSE)</f>
        <v>2017</v>
      </c>
      <c r="D129" t="str">
        <f>VLOOKUP($A129,articles_2026_01_26!$A$2:$U$737,2,FALSE)</f>
        <v>Scientific evidence and potential barriers in the management of Brazilian protected areas</v>
      </c>
      <c r="E129" t="str">
        <f>VLOOKUP($A129,articles_2026_01_26!$A$2:$U$737,6,FALSE)</f>
        <v>PLoS ONE</v>
      </c>
      <c r="F129">
        <f>VLOOKUP($A129,articles_2026_01_26!$A$2:$U$737,8,FALSE)</f>
        <v>12</v>
      </c>
      <c r="G129">
        <f>VLOOKUP($A129,articles_2026_01_26!$A$2:$U$737,9,FALSE)</f>
        <v>1</v>
      </c>
      <c r="H129">
        <f>VLOOKUP($A129,articles_2026_01_26!$A$2:$U$737,10,FALSE)</f>
        <v>0</v>
      </c>
      <c r="I129" t="str">
        <f>VLOOKUP($A129,articles_2026_01_26!$A$2:$U$737,18,FALSE)</f>
        <v>10.1371/journal.pone.0169917</v>
      </c>
    </row>
    <row r="130" spans="1:9" x14ac:dyDescent="0.25">
      <c r="A130" t="s">
        <v>4722</v>
      </c>
      <c r="B130" t="str">
        <f>VLOOKUP($A130,articles_2026_01_26!$A$2:$U$737,11,FALSE)</f>
        <v>Ward, W.S. and Finlayson, C. and Vanderzee, M.</v>
      </c>
      <c r="C130">
        <f>VLOOKUP($A130,articles_2026_01_26!$A$2:$U$737,3,FALSE)</f>
        <v>2024</v>
      </c>
      <c r="D130" t="str">
        <f>VLOOKUP($A130,articles_2026_01_26!$A$2:$U$737,2,FALSE)</f>
        <v>Managing biodiversity on private land: Directions for collaboration through reconciliation ecology</v>
      </c>
      <c r="E130" t="str">
        <f>VLOOKUP($A130,articles_2026_01_26!$A$2:$U$737,6,FALSE)</f>
        <v>Ecological Management and Restoration</v>
      </c>
      <c r="F130">
        <f>VLOOKUP($A130,articles_2026_01_26!$A$2:$U$737,8,FALSE)</f>
        <v>25</v>
      </c>
      <c r="G130">
        <f>VLOOKUP($A130,articles_2026_01_26!$A$2:$U$737,9,FALSE)</f>
        <v>2</v>
      </c>
      <c r="H130" t="str">
        <f>VLOOKUP($A130,articles_2026_01_26!$A$2:$U$737,10,FALSE)</f>
        <v>85-92</v>
      </c>
      <c r="I130" t="str">
        <f>VLOOKUP($A130,articles_2026_01_26!$A$2:$U$737,18,FALSE)</f>
        <v>10.1111/emr.12606</v>
      </c>
    </row>
    <row r="131" spans="1:9" x14ac:dyDescent="0.25">
      <c r="A131" t="s">
        <v>4903</v>
      </c>
      <c r="B131" t="str">
        <f>VLOOKUP($A131,articles_2026_01_26!$A$2:$U$737,11,FALSE)</f>
        <v>Murray, G and Randall, C and Rollins, R</v>
      </c>
      <c r="C131">
        <f>VLOOKUP($A131,articles_2026_01_26!$A$2:$U$737,3,FALSE)</f>
        <v>2020</v>
      </c>
      <c r="D131" t="str">
        <f>VLOOKUP($A131,articles_2026_01_26!$A$2:$U$737,2,FALSE)</f>
        <v>Informing Protected Area Decision Making through Academic-Practitioner Collaborations</v>
      </c>
      <c r="E131" t="str">
        <f>VLOOKUP($A131,articles_2026_01_26!$A$2:$U$737,6,FALSE)</f>
        <v>LAND</v>
      </c>
      <c r="F131">
        <f>VLOOKUP($A131,articles_2026_01_26!$A$2:$U$737,8,FALSE)</f>
        <v>9</v>
      </c>
      <c r="G131">
        <f>VLOOKUP($A131,articles_2026_01_26!$A$2:$U$737,9,FALSE)</f>
        <v>10</v>
      </c>
      <c r="H131">
        <f>VLOOKUP($A131,articles_2026_01_26!$A$2:$U$737,10,FALSE)</f>
        <v>0</v>
      </c>
      <c r="I131" t="str">
        <f>VLOOKUP($A131,articles_2026_01_26!$A$2:$U$737,18,FALSE)</f>
        <v>10.3390/land9100375     WE  - Social Science Citation Index (SSCI)</v>
      </c>
    </row>
    <row r="132" spans="1:9" x14ac:dyDescent="0.25">
      <c r="A132" t="s">
        <v>4941</v>
      </c>
      <c r="B132" t="str">
        <f>VLOOKUP($A132,articles_2026_01_26!$A$2:$U$737,11,FALSE)</f>
        <v>Giebels, D and van Buuren, A and Edelenbos, J</v>
      </c>
      <c r="C132">
        <f>VLOOKUP($A132,articles_2026_01_26!$A$2:$U$737,3,FALSE)</f>
        <v>2015</v>
      </c>
      <c r="D132" t="str">
        <f>VLOOKUP($A132,articles_2026_01_26!$A$2:$U$737,2,FALSE)</f>
        <v>Using knowledge in a complex decision-making process - Evidence and principles from the Danish Houting project's ecosystem-based management approach</v>
      </c>
      <c r="E132" t="str">
        <f>VLOOKUP($A132,articles_2026_01_26!$A$2:$U$737,6,FALSE)</f>
        <v>ENVIRONMENTAL SCIENCE &amp; POLICY</v>
      </c>
      <c r="F132">
        <f>VLOOKUP($A132,articles_2026_01_26!$A$2:$U$737,8,FALSE)</f>
        <v>47</v>
      </c>
      <c r="G132">
        <f>VLOOKUP($A132,articles_2026_01_26!$A$2:$U$737,9,FALSE)</f>
        <v>0</v>
      </c>
      <c r="H132" t="str">
        <f>VLOOKUP($A132,articles_2026_01_26!$A$2:$U$737,10,FALSE)</f>
        <v>53-67</v>
      </c>
      <c r="I132" t="str">
        <f>VLOOKUP($A132,articles_2026_01_26!$A$2:$U$737,18,FALSE)</f>
        <v>10.1016/j.envsci.2014.10.015     WE  - Science Citation Index Expanded (SCI-EXPANDED)     WE  - Social Science Citation Index (SSCI)</v>
      </c>
    </row>
    <row r="133" spans="1:9" x14ac:dyDescent="0.25">
      <c r="A133" t="s">
        <v>5144</v>
      </c>
      <c r="B133" t="str">
        <f>VLOOKUP($A133,articles_2026_01_26!$A$2:$U$737,11,FALSE)</f>
        <v>Neeff, T and Piazza, M</v>
      </c>
      <c r="C133">
        <f>VLOOKUP($A133,articles_2026_01_26!$A$2:$U$737,3,FALSE)</f>
        <v>2020</v>
      </c>
      <c r="D133" t="str">
        <f>VLOOKUP($A133,articles_2026_01_26!$A$2:$U$737,2,FALSE)</f>
        <v>How countries link forest monitoring into policy-making</v>
      </c>
      <c r="E133" t="str">
        <f>VLOOKUP($A133,articles_2026_01_26!$A$2:$U$737,6,FALSE)</f>
        <v>FOREST POLICY AND ECONOMICS</v>
      </c>
      <c r="F133">
        <f>VLOOKUP($A133,articles_2026_01_26!$A$2:$U$737,8,FALSE)</f>
        <v>118</v>
      </c>
      <c r="G133">
        <f>VLOOKUP($A133,articles_2026_01_26!$A$2:$U$737,9,FALSE)</f>
        <v>0</v>
      </c>
      <c r="H133">
        <f>VLOOKUP($A133,articles_2026_01_26!$A$2:$U$737,10,FALSE)</f>
        <v>0</v>
      </c>
      <c r="I133" t="str">
        <f>VLOOKUP($A133,articles_2026_01_26!$A$2:$U$737,18,FALSE)</f>
        <v>10.1016/j.forpol.2020.102248     WE  - Science Citation Index Expanded (SCI-EXPANDED)     WE  - Social Science Citation Index (SSCI)</v>
      </c>
    </row>
    <row r="134" spans="1:9" x14ac:dyDescent="0.25">
      <c r="A134" t="s">
        <v>5245</v>
      </c>
      <c r="B134" t="str">
        <f>VLOOKUP($A134,articles_2026_01_26!$A$2:$U$737,11,FALSE)</f>
        <v>Karcher, DB and Cvitanovic, C and Colvin, RM and van Putten, I and Pozza, RD and Posner, S</v>
      </c>
      <c r="C134">
        <f>VLOOKUP($A134,articles_2026_01_26!$A$2:$U$737,3,FALSE)</f>
        <v>2025</v>
      </c>
      <c r="D134" t="str">
        <f>VLOOKUP($A134,articles_2026_01_26!$A$2:$U$737,2,FALSE)</f>
        <v>Key attributes for effective knowledge brokering at the interface of environmental science and management</v>
      </c>
      <c r="E134" t="str">
        <f>VLOOKUP($A134,articles_2026_01_26!$A$2:$U$737,6,FALSE)</f>
        <v>SUSTAINABILITY SCIENCE</v>
      </c>
      <c r="F134">
        <f>VLOOKUP($A134,articles_2026_01_26!$A$2:$U$737,8,FALSE)</f>
        <v>20</v>
      </c>
      <c r="G134">
        <f>VLOOKUP($A134,articles_2026_01_26!$A$2:$U$737,9,FALSE)</f>
        <v>1</v>
      </c>
      <c r="H134" t="str">
        <f>VLOOKUP($A134,articles_2026_01_26!$A$2:$U$737,10,FALSE)</f>
        <v>117-133</v>
      </c>
      <c r="I134" t="str">
        <f>VLOOKUP($A134,articles_2026_01_26!$A$2:$U$737,18,FALSE)</f>
        <v>10.1007/s11625-024-01575-6</v>
      </c>
    </row>
    <row r="135" spans="1:9" x14ac:dyDescent="0.25">
      <c r="A135" t="s">
        <v>5324</v>
      </c>
      <c r="B135" t="str">
        <f>VLOOKUP($A135,articles_2026_01_26!$A$2:$U$737,11,FALSE)</f>
        <v>Cooke, SJ and Nguyen, VM and Wilson, ADM and Donaldson, MR and Gallagher, AJ and Hammerschlag, N and Haddaway, NR</v>
      </c>
      <c r="C135">
        <f>VLOOKUP($A135,articles_2026_01_26!$A$2:$U$737,3,FALSE)</f>
        <v>2016</v>
      </c>
      <c r="D135" t="str">
        <f>VLOOKUP($A135,articles_2026_01_26!$A$2:$U$737,2,FALSE)</f>
        <v>The need for speed in a crisis discipline: perspectives on peer-review duration and implications for conservation science</v>
      </c>
      <c r="E135" t="str">
        <f>VLOOKUP($A135,articles_2026_01_26!$A$2:$U$737,6,FALSE)</f>
        <v>ENDANGERED SPECIES RESEARCH</v>
      </c>
      <c r="F135">
        <f>VLOOKUP($A135,articles_2026_01_26!$A$2:$U$737,8,FALSE)</f>
        <v>30</v>
      </c>
      <c r="G135">
        <f>VLOOKUP($A135,articles_2026_01_26!$A$2:$U$737,9,FALSE)</f>
        <v>0</v>
      </c>
      <c r="H135">
        <f>VLOOKUP($A135,articles_2026_01_26!$A$2:$U$737,10,FALSE)</f>
        <v>43405</v>
      </c>
      <c r="I135" t="str">
        <f>VLOOKUP($A135,articles_2026_01_26!$A$2:$U$737,18,FALSE)</f>
        <v>10.3354/esr00721     WE  - Science Citation Index Expanded (SCI-EXPANDED)</v>
      </c>
    </row>
    <row r="136" spans="1:9" x14ac:dyDescent="0.25">
      <c r="A136" t="s">
        <v>5333</v>
      </c>
      <c r="B136" t="str">
        <f>VLOOKUP($A136,articles_2026_01_26!$A$2:$U$737,11,FALSE)</f>
        <v>Gardiner, NB and Liggett, D and Gilbert, N and Cvitanovic, C</v>
      </c>
      <c r="C136">
        <f>VLOOKUP($A136,articles_2026_01_26!$A$2:$U$737,3,FALSE)</f>
        <v>2024</v>
      </c>
      <c r="D136" t="str">
        <f>VLOOKUP($A136,articles_2026_01_26!$A$2:$U$737,2,FALSE)</f>
        <v>Practitioners' perspectives on the enablers and barriers to successful Antarctic science-policy knowledge exchange</v>
      </c>
      <c r="E136" t="str">
        <f>VLOOKUP($A136,articles_2026_01_26!$A$2:$U$737,6,FALSE)</f>
        <v>ENVIRONMENTAL POLICY AND GOVERNANCE</v>
      </c>
      <c r="F136">
        <f>VLOOKUP($A136,articles_2026_01_26!$A$2:$U$737,8,FALSE)</f>
        <v>0</v>
      </c>
      <c r="G136">
        <f>VLOOKUP($A136,articles_2026_01_26!$A$2:$U$737,9,FALSE)</f>
        <v>0</v>
      </c>
      <c r="H136">
        <f>VLOOKUP($A136,articles_2026_01_26!$A$2:$U$737,10,FALSE)</f>
        <v>0</v>
      </c>
      <c r="I136" t="str">
        <f>VLOOKUP($A136,articles_2026_01_26!$A$2:$U$737,18,FALSE)</f>
        <v>10.1002/eet.2143</v>
      </c>
    </row>
    <row r="137" spans="1:9" x14ac:dyDescent="0.25">
      <c r="A137" t="s">
        <v>5399</v>
      </c>
      <c r="B137" t="str">
        <f>VLOOKUP($A137,articles_2026_01_26!$A$2:$U$737,11,FALSE)</f>
        <v>Vimal, R and Gatiso, T and Mathevet, R</v>
      </c>
      <c r="C137">
        <f>VLOOKUP($A137,articles_2026_01_26!$A$2:$U$737,3,FALSE)</f>
        <v>2018</v>
      </c>
      <c r="D137" t="str">
        <f>VLOOKUP($A137,articles_2026_01_26!$A$2:$U$737,2,FALSE)</f>
        <v>Monitoring in Tropical National Parks: The Power of Knowledge</v>
      </c>
      <c r="E137" t="str">
        <f>VLOOKUP($A137,articles_2026_01_26!$A$2:$U$737,6,FALSE)</f>
        <v>CONSERVATION &amp; SOCIETY</v>
      </c>
      <c r="F137">
        <f>VLOOKUP($A137,articles_2026_01_26!$A$2:$U$737,8,FALSE)</f>
        <v>16</v>
      </c>
      <c r="G137">
        <f>VLOOKUP($A137,articles_2026_01_26!$A$2:$U$737,9,FALSE)</f>
        <v>1</v>
      </c>
      <c r="H137" t="str">
        <f>VLOOKUP($A137,articles_2026_01_26!$A$2:$U$737,10,FALSE)</f>
        <v>76-90</v>
      </c>
      <c r="I137" t="str">
        <f>VLOOKUP($A137,articles_2026_01_26!$A$2:$U$737,18,FALSE)</f>
        <v>10.4103/cs.cs_17_12     WE  - Social Science Citation Index (SSCI)</v>
      </c>
    </row>
    <row r="138" spans="1:9" x14ac:dyDescent="0.25">
      <c r="A138" t="s">
        <v>5441</v>
      </c>
      <c r="B138" t="str">
        <f>VLOOKUP($A138,articles_2026_01_26!$A$2:$U$737,11,FALSE)</f>
        <v>Kartez, JD and Casto, MP</v>
      </c>
      <c r="C138">
        <f>VLOOKUP($A138,articles_2026_01_26!$A$2:$U$737,3,FALSE)</f>
        <v>2008</v>
      </c>
      <c r="D138" t="str">
        <f>VLOOKUP($A138,articles_2026_01_26!$A$2:$U$737,2,FALSE)</f>
        <v>Information Into Action Biodiversity Data Outreach and Municipal Land Conservation</v>
      </c>
      <c r="E138" t="str">
        <f>VLOOKUP($A138,articles_2026_01_26!$A$2:$U$737,6,FALSE)</f>
        <v>JOURNAL OF THE AMERICAN PLANNING ASSOCIATION</v>
      </c>
      <c r="F138">
        <f>VLOOKUP($A138,articles_2026_01_26!$A$2:$U$737,8,FALSE)</f>
        <v>74</v>
      </c>
      <c r="G138">
        <f>VLOOKUP($A138,articles_2026_01_26!$A$2:$U$737,9,FALSE)</f>
        <v>4</v>
      </c>
      <c r="H138" t="str">
        <f>VLOOKUP($A138,articles_2026_01_26!$A$2:$U$737,10,FALSE)</f>
        <v>467-480</v>
      </c>
      <c r="I138" t="str">
        <f>VLOOKUP($A138,articles_2026_01_26!$A$2:$U$737,18,FALSE)</f>
        <v>10.1080/01944360802378096     WE  - Social Science Citation Index (SSCI)</v>
      </c>
    </row>
    <row r="139" spans="1:9" x14ac:dyDescent="0.25">
      <c r="A139" t="s">
        <v>5595</v>
      </c>
      <c r="B139" t="str">
        <f>VLOOKUP($A139,articles_2026_01_26!$A$2:$U$737,11,FALSE)</f>
        <v>Polejack, A and RamÃ­rez-Monsalve, P and Wisz, MS</v>
      </c>
      <c r="C139">
        <f>VLOOKUP($A139,articles_2026_01_26!$A$2:$U$737,3,FALSE)</f>
        <v>2023</v>
      </c>
      <c r="D139" t="str">
        <f>VLOOKUP($A139,articles_2026_01_26!$A$2:$U$737,2,FALSE)</f>
        <v>What does integrated ecosystem assessment mean to policy-makers and scientists working in the Atlantic? Implications for ocean science diplomacy</v>
      </c>
      <c r="E139" t="str">
        <f>VLOOKUP($A139,articles_2026_01_26!$A$2:$U$737,6,FALSE)</f>
        <v>FRONTIERS IN MARINE SCIENCE</v>
      </c>
      <c r="F139">
        <f>VLOOKUP($A139,articles_2026_01_26!$A$2:$U$737,8,FALSE)</f>
        <v>10</v>
      </c>
      <c r="G139">
        <f>VLOOKUP($A139,articles_2026_01_26!$A$2:$U$737,9,FALSE)</f>
        <v>0</v>
      </c>
      <c r="H139">
        <f>VLOOKUP($A139,articles_2026_01_26!$A$2:$U$737,10,FALSE)</f>
        <v>0</v>
      </c>
      <c r="I139" t="str">
        <f>VLOOKUP($A139,articles_2026_01_26!$A$2:$U$737,18,FALSE)</f>
        <v>10.3389/fmars.2023.1004740     WE  - Science Citation Index Expanded (SCI-EXPANDED)</v>
      </c>
    </row>
    <row r="140" spans="1:9" x14ac:dyDescent="0.25">
      <c r="A140" t="s">
        <v>5610</v>
      </c>
      <c r="B140" t="str">
        <f>VLOOKUP($A140,articles_2026_01_26!$A$2:$U$737,11,FALSE)</f>
        <v>Lott, CA and Akresh, ME and Costanzo, BE and D'Amato, AW and Duan, SW and Fiss, CJ and Fraser, JS and He, HS and King, DI and McNeil, DJ and Stoleson, SH and Yamasaki, M and Larkin, JL</v>
      </c>
      <c r="C140">
        <f>VLOOKUP($A140,articles_2026_01_26!$A$2:$U$737,3,FALSE)</f>
        <v>2021</v>
      </c>
      <c r="D140" t="str">
        <f>VLOOKUP($A140,articles_2026_01_26!$A$2:$U$737,2,FALSE)</f>
        <v>Do Review Papers on Bird-Vegetation Relationships Provide Actionable Information to Forest Managers in the Eastern United States?</v>
      </c>
      <c r="E140" t="str">
        <f>VLOOKUP($A140,articles_2026_01_26!$A$2:$U$737,6,FALSE)</f>
        <v>FORESTS</v>
      </c>
      <c r="F140">
        <f>VLOOKUP($A140,articles_2026_01_26!$A$2:$U$737,8,FALSE)</f>
        <v>12</v>
      </c>
      <c r="G140">
        <f>VLOOKUP($A140,articles_2026_01_26!$A$2:$U$737,9,FALSE)</f>
        <v>8</v>
      </c>
      <c r="H140">
        <f>VLOOKUP($A140,articles_2026_01_26!$A$2:$U$737,10,FALSE)</f>
        <v>0</v>
      </c>
      <c r="I140" t="str">
        <f>VLOOKUP($A140,articles_2026_01_26!$A$2:$U$737,18,FALSE)</f>
        <v>10.3390/f12080990     WE  - Science Citation Index Expanded (SCI-EXPANDED)</v>
      </c>
    </row>
    <row r="141" spans="1:9" x14ac:dyDescent="0.25">
      <c r="A141" t="s">
        <v>5642</v>
      </c>
      <c r="B141" t="str">
        <f>VLOOKUP($A141,articles_2026_01_26!$A$2:$U$737,11,FALSE)</f>
        <v>Greggor, AL and Berger-Tal, O and Swaisgood, RR and Cooke, SJ and DeVault, TL and FernÃ¡ndez-Juricic, E and Gienapp, A and Hall, S and Hostetter, C and Owen, MA and Rankin, S and Ruppert, KA and Swaddle, JP and Blumstein, DT</v>
      </c>
      <c r="C141">
        <f>VLOOKUP($A141,articles_2026_01_26!$A$2:$U$737,3,FALSE)</f>
        <v>2021</v>
      </c>
      <c r="D141" t="str">
        <f>VLOOKUP($A141,articles_2026_01_26!$A$2:$U$737,2,FALSE)</f>
        <v>Using Change Models to Envision Better Applications of Animal Behavior Research in Conservation Management and Beyond</v>
      </c>
      <c r="E141" t="str">
        <f>VLOOKUP($A141,articles_2026_01_26!$A$2:$U$737,6,FALSE)</f>
        <v>FRONTIERS IN CONSERVATION SCIENCE</v>
      </c>
      <c r="F141">
        <f>VLOOKUP($A141,articles_2026_01_26!$A$2:$U$737,8,FALSE)</f>
        <v>2</v>
      </c>
      <c r="G141">
        <f>VLOOKUP($A141,articles_2026_01_26!$A$2:$U$737,9,FALSE)</f>
        <v>0</v>
      </c>
      <c r="H141">
        <f>VLOOKUP($A141,articles_2026_01_26!$A$2:$U$737,10,FALSE)</f>
        <v>0</v>
      </c>
      <c r="I141" t="str">
        <f>VLOOKUP($A141,articles_2026_01_26!$A$2:$U$737,18,FALSE)</f>
        <v>10.3389/fcosc.2021.653056     WE  - Emerging Sources Citation Index (ESCI)</v>
      </c>
    </row>
    <row r="142" spans="1:9" x14ac:dyDescent="0.25">
      <c r="A142" t="s">
        <v>5685</v>
      </c>
      <c r="B142" t="str">
        <f>VLOOKUP($A142,articles_2026_01_26!$A$2:$U$737,11,FALSE)</f>
        <v>Lapointe, NWR and Tremblay, MA and Barna, H</v>
      </c>
      <c r="C142">
        <f>VLOOKUP($A142,articles_2026_01_26!$A$2:$U$737,3,FALSE)</f>
        <v>2016</v>
      </c>
      <c r="D142" t="str">
        <f>VLOOKUP($A142,articles_2026_01_26!$A$2:$U$737,2,FALSE)</f>
        <v>Tools for Improving the Effectiveness of Academic Partnerships in Informing Conservation Practices</v>
      </c>
      <c r="E142" t="str">
        <f>VLOOKUP($A142,articles_2026_01_26!$A$2:$U$737,6,FALSE)</f>
        <v>NATURAL AREAS JOURNAL</v>
      </c>
      <c r="F142">
        <f>VLOOKUP($A142,articles_2026_01_26!$A$2:$U$737,8,FALSE)</f>
        <v>36</v>
      </c>
      <c r="G142">
        <f>VLOOKUP($A142,articles_2026_01_26!$A$2:$U$737,9,FALSE)</f>
        <v>1</v>
      </c>
      <c r="H142" t="str">
        <f>VLOOKUP($A142,articles_2026_01_26!$A$2:$U$737,10,FALSE)</f>
        <v>93-100</v>
      </c>
      <c r="I142" t="str">
        <f>VLOOKUP($A142,articles_2026_01_26!$A$2:$U$737,18,FALSE)</f>
        <v>10.3375/043.036.0116     WE  - Science Citation Index Expanded (SCI-EXPANDED)</v>
      </c>
    </row>
    <row r="143" spans="1:9" x14ac:dyDescent="0.25">
      <c r="A143" t="s">
        <v>5710</v>
      </c>
      <c r="B143" t="str">
        <f>VLOOKUP($A143,articles_2026_01_26!$A$2:$U$737,11,FALSE)</f>
        <v>Eschen, R and Mbaabu, PR and Ramamonjisoa, BS and Robledo-Abad, C</v>
      </c>
      <c r="C143">
        <f>VLOOKUP($A143,articles_2026_01_26!$A$2:$U$737,3,FALSE)</f>
        <v>2021</v>
      </c>
      <c r="D143" t="str">
        <f>VLOOKUP($A143,articles_2026_01_26!$A$2:$U$737,2,FALSE)</f>
        <v>Factors enhancing the level of utilisation of research knowledge on ecosystems</v>
      </c>
      <c r="E143" t="str">
        <f>VLOOKUP($A143,articles_2026_01_26!$A$2:$U$737,6,FALSE)</f>
        <v>PLOS ONE</v>
      </c>
      <c r="F143">
        <f>VLOOKUP($A143,articles_2026_01_26!$A$2:$U$737,8,FALSE)</f>
        <v>16</v>
      </c>
      <c r="G143">
        <f>VLOOKUP($A143,articles_2026_01_26!$A$2:$U$737,9,FALSE)</f>
        <v>7</v>
      </c>
      <c r="H143">
        <f>VLOOKUP($A143,articles_2026_01_26!$A$2:$U$737,10,FALSE)</f>
        <v>0</v>
      </c>
      <c r="I143" t="str">
        <f>VLOOKUP($A143,articles_2026_01_26!$A$2:$U$737,18,FALSE)</f>
        <v>10.1371/journal.pone.0254752     WE  - Science Citation Index Expanded (SCI-EXPANDED)     WE  - Social Science Citation Index (SSCI)</v>
      </c>
    </row>
    <row r="144" spans="1:9" x14ac:dyDescent="0.25">
      <c r="A144" t="s">
        <v>2248</v>
      </c>
      <c r="B144" t="str">
        <f>VLOOKUP($A144,articles_2026_01_26!$A$2:$U$737,11,FALSE)</f>
        <v>Denny, S. and Fanning, L.</v>
      </c>
      <c r="C144">
        <f>VLOOKUP($A144,articles_2026_01_26!$A$2:$U$737,3,FALSE)</f>
        <v>2016</v>
      </c>
      <c r="D144" t="str">
        <f>VLOOKUP($A144,articles_2026_01_26!$A$2:$U$737,2,FALSE)</f>
        <v>Balancing community autonomy with collective identity: Mi'kmaq decision-making in Nova Scotia</v>
      </c>
      <c r="E144" t="str">
        <f>VLOOKUP($A144,articles_2026_01_26!$A$2:$U$737,6,FALSE)</f>
        <v>Canadian Journal of Native Studies</v>
      </c>
      <c r="F144">
        <f>VLOOKUP($A144,articles_2026_01_26!$A$2:$U$737,8,FALSE)</f>
        <v>36</v>
      </c>
      <c r="G144">
        <f>VLOOKUP($A144,articles_2026_01_26!$A$2:$U$737,9,FALSE)</f>
        <v>2</v>
      </c>
      <c r="H144" t="str">
        <f>VLOOKUP($A144,articles_2026_01_26!$A$2:$U$737,10,FALSE)</f>
        <v>81-106</v>
      </c>
      <c r="I144">
        <f>VLOOKUP($A144,articles_2026_01_26!$A$2:$U$737,18,FALSE)</f>
        <v>0</v>
      </c>
    </row>
    <row r="145" spans="1:9" x14ac:dyDescent="0.25">
      <c r="A145" t="s">
        <v>821</v>
      </c>
      <c r="B145" t="str">
        <f>VLOOKUP($A145,articles_2026_01_26!$A$2:$U$737,11,FALSE)</f>
        <v>Lalor B M and Hickey G M</v>
      </c>
      <c r="C145">
        <f>VLOOKUP($A145,articles_2026_01_26!$A$2:$U$737,3,FALSE)</f>
        <v>2014</v>
      </c>
      <c r="D145" t="str">
        <f>VLOOKUP($A145,articles_2026_01_26!$A$2:$U$737,2,FALSE)</f>
        <v>Strengthening the Role of Science in the Environmental Decision-Making Processes of Executive Government</v>
      </c>
      <c r="E145" t="str">
        <f>VLOOKUP($A145,articles_2026_01_26!$A$2:$U$737,6,FALSE)</f>
        <v>Organization &amp; Environment</v>
      </c>
      <c r="F145">
        <f>VLOOKUP($A145,articles_2026_01_26!$A$2:$U$737,8,FALSE)</f>
        <v>27</v>
      </c>
      <c r="G145">
        <f>VLOOKUP($A145,articles_2026_01_26!$A$2:$U$737,9,FALSE)</f>
        <v>2</v>
      </c>
      <c r="H145" t="str">
        <f>VLOOKUP($A145,articles_2026_01_26!$A$2:$U$737,10,FALSE)</f>
        <v>161-180</v>
      </c>
      <c r="I145" t="str">
        <f>VLOOKUP($A145,articles_2026_01_26!$A$2:$U$737,18,FALSE)</f>
        <v>10.1177/1086026614525641</v>
      </c>
    </row>
    <row r="146" spans="1:9" x14ac:dyDescent="0.25">
      <c r="A146" t="s">
        <v>488</v>
      </c>
      <c r="B146" t="str">
        <f>VLOOKUP($A146,articles_2026_01_26!$A$2:$U$737,11,FALSE)</f>
        <v>Tambe S and Rawat G S and Bhutia N T and Sherpa P N and Dhakal S and Pradhan S and Kulkarni H and Arrawatia M L</v>
      </c>
      <c r="C146">
        <f>VLOOKUP($A146,articles_2026_01_26!$A$2:$U$737,3,FALSE)</f>
        <v>2020</v>
      </c>
      <c r="D146" t="str">
        <f>VLOOKUP($A146,articles_2026_01_26!$A$2:$U$737,2,FALSE)</f>
        <v>Building sustainability in the Eastern Himalaya: linking evidence to action</v>
      </c>
      <c r="E146" t="str">
        <f>VLOOKUP($A146,articles_2026_01_26!$A$2:$U$737,6,FALSE)</f>
        <v>Environment Development and Sustainability</v>
      </c>
      <c r="F146">
        <f>VLOOKUP($A146,articles_2026_01_26!$A$2:$U$737,8,FALSE)</f>
        <v>22</v>
      </c>
      <c r="G146">
        <f>VLOOKUP($A146,articles_2026_01_26!$A$2:$U$737,9,FALSE)</f>
        <v>6</v>
      </c>
      <c r="H146" t="str">
        <f>VLOOKUP($A146,articles_2026_01_26!$A$2:$U$737,10,FALSE)</f>
        <v>5887-5903</v>
      </c>
      <c r="I146" t="str">
        <f>VLOOKUP($A146,articles_2026_01_26!$A$2:$U$737,18,FALSE)</f>
        <v>10.1007/s10668-019-00456-8</v>
      </c>
    </row>
    <row r="147" spans="1:9" x14ac:dyDescent="0.25">
      <c r="A147" t="s">
        <v>631</v>
      </c>
      <c r="B147" t="str">
        <f>VLOOKUP($A147,articles_2026_01_26!$A$2:$U$737,11,FALSE)</f>
        <v>Ramirez Luisa F and Belcher Brian M</v>
      </c>
      <c r="C147">
        <f>VLOOKUP($A147,articles_2026_01_26!$A$2:$U$737,3,FALSE)</f>
        <v>2019</v>
      </c>
      <c r="D147" t="str">
        <f>VLOOKUP($A147,articles_2026_01_26!$A$2:$U$737,2,FALSE)</f>
        <v>Stakeholder perceptions of scientific knowledge in policy processes: A Peruvian case-study of forestry policy development</v>
      </c>
      <c r="E147" t="str">
        <f>VLOOKUP($A147,articles_2026_01_26!$A$2:$U$737,6,FALSE)</f>
        <v>Science &amp; Public Policy (SPP)</v>
      </c>
      <c r="F147">
        <f>VLOOKUP($A147,articles_2026_01_26!$A$2:$U$737,8,FALSE)</f>
        <v>46</v>
      </c>
      <c r="G147">
        <f>VLOOKUP($A147,articles_2026_01_26!$A$2:$U$737,9,FALSE)</f>
        <v>4</v>
      </c>
      <c r="H147" t="str">
        <f>VLOOKUP($A147,articles_2026_01_26!$A$2:$U$737,10,FALSE)</f>
        <v>504-517</v>
      </c>
      <c r="I147" t="str">
        <f>VLOOKUP($A147,articles_2026_01_26!$A$2:$U$737,18,FALSE)</f>
        <v>10.1093/scipol/scz003</v>
      </c>
    </row>
    <row r="148" spans="1:9" x14ac:dyDescent="0.25">
      <c r="A148" t="s">
        <v>662</v>
      </c>
      <c r="B148" t="str">
        <f>VLOOKUP($A148,articles_2026_01_26!$A$2:$U$737,11,FALSE)</f>
        <v>Petheram L and Stacey N and Campbell B M and High C</v>
      </c>
      <c r="C148">
        <f>VLOOKUP($A148,articles_2026_01_26!$A$2:$U$737,3,FALSE)</f>
        <v>2012</v>
      </c>
      <c r="D148" t="str">
        <f>VLOOKUP($A148,articles_2026_01_26!$A$2:$U$737,2,FALSE)</f>
        <v>Using visual products derived from community research to inform natural resource management policy</v>
      </c>
      <c r="E148" t="str">
        <f>VLOOKUP($A148,articles_2026_01_26!$A$2:$U$737,6,FALSE)</f>
        <v>Land Use Policy</v>
      </c>
      <c r="F148">
        <f>VLOOKUP($A148,articles_2026_01_26!$A$2:$U$737,8,FALSE)</f>
        <v>29</v>
      </c>
      <c r="G148">
        <f>VLOOKUP($A148,articles_2026_01_26!$A$2:$U$737,9,FALSE)</f>
        <v>1</v>
      </c>
      <c r="H148">
        <f>VLOOKUP($A148,articles_2026_01_26!$A$2:$U$737,10,FALSE)</f>
        <v>46296</v>
      </c>
      <c r="I148" t="str">
        <f>VLOOKUP($A148,articles_2026_01_26!$A$2:$U$737,18,FALSE)</f>
        <v>10.1016/j.landusepol.2011.04.002</v>
      </c>
    </row>
    <row r="149" spans="1:9" x14ac:dyDescent="0.25">
      <c r="A149" t="s">
        <v>787</v>
      </c>
      <c r="B149" t="str">
        <f>VLOOKUP($A149,articles_2026_01_26!$A$2:$U$737,11,FALSE)</f>
        <v>Lonsdale J A and Gill A B and Alliji K and Birchenough S N. R and Blake S and Buckley H and Clarke C and Clarke S and Edmonds N and Fonseca L and Goodsir F and Griffith A and Judd A and Mulholland R and Perry J and Randall K and Wood D</v>
      </c>
      <c r="C149">
        <f>VLOOKUP($A149,articles_2026_01_26!$A$2:$U$737,3,FALSE)</f>
        <v>2022</v>
      </c>
      <c r="D149" t="str">
        <f>VLOOKUP($A149,articles_2026_01_26!$A$2:$U$737,2,FALSE)</f>
        <v>It Is a Balancing Act: The Interface of Scientific Evidence and Policy in Support of Effective Marine Environmental Management</v>
      </c>
      <c r="E149" t="str">
        <f>VLOOKUP($A149,articles_2026_01_26!$A$2:$U$737,6,FALSE)</f>
        <v>Sustainability</v>
      </c>
      <c r="F149">
        <f>VLOOKUP($A149,articles_2026_01_26!$A$2:$U$737,8,FALSE)</f>
        <v>14</v>
      </c>
      <c r="G149">
        <f>VLOOKUP($A149,articles_2026_01_26!$A$2:$U$737,9,FALSE)</f>
        <v>3</v>
      </c>
      <c r="H149">
        <f>VLOOKUP($A149,articles_2026_01_26!$A$2:$U$737,10,FALSE)</f>
        <v>0</v>
      </c>
      <c r="I149" t="str">
        <f>VLOOKUP($A149,articles_2026_01_26!$A$2:$U$737,18,FALSE)</f>
        <v>10.3390/su14031650</v>
      </c>
    </row>
    <row r="150" spans="1:9" x14ac:dyDescent="0.25">
      <c r="A150" t="s">
        <v>983</v>
      </c>
      <c r="B150" t="str">
        <f>VLOOKUP($A150,articles_2026_01_26!$A$2:$U$737,11,FALSE)</f>
        <v>Cvitanovic C and Shellock R J and Mackay M and van Putten E I and Karcher D B and Dickey-Collas M and Ballesteros M</v>
      </c>
      <c r="C150">
        <f>VLOOKUP($A150,articles_2026_01_26!$A$2:$U$737,3,FALSE)</f>
        <v>2021</v>
      </c>
      <c r="D150" t="str">
        <f>VLOOKUP($A150,articles_2026_01_26!$A$2:$U$737,2,FALSE)</f>
        <v>Strategies for building and managing 'trust' to enable knowledge exchange at the interface of environmental science and policy</v>
      </c>
      <c r="E150" t="str">
        <f>VLOOKUP($A150,articles_2026_01_26!$A$2:$U$737,6,FALSE)</f>
        <v>Environmental Science and Policy</v>
      </c>
      <c r="F150">
        <f>VLOOKUP($A150,articles_2026_01_26!$A$2:$U$737,8,FALSE)</f>
        <v>123</v>
      </c>
      <c r="G150">
        <f>VLOOKUP($A150,articles_2026_01_26!$A$2:$U$737,9,FALSE)</f>
        <v>0</v>
      </c>
      <c r="H150" t="str">
        <f>VLOOKUP($A150,articles_2026_01_26!$A$2:$U$737,10,FALSE)</f>
        <v>179-189</v>
      </c>
      <c r="I150">
        <f>VLOOKUP($A150,articles_2026_01_26!$A$2:$U$737,18,FALSE)</f>
        <v>0</v>
      </c>
    </row>
    <row r="151" spans="1:9" x14ac:dyDescent="0.25">
      <c r="A151" t="s">
        <v>1267</v>
      </c>
      <c r="B151" t="str">
        <f>VLOOKUP($A151,articles_2026_01_26!$A$2:$U$737,11,FALSE)</f>
        <v>Young, N. and Nguyen, V.M. and Corriveau, M. and Cooke, S.J. and Hinch, S.G.</v>
      </c>
      <c r="C151">
        <f>VLOOKUP($A151,articles_2026_01_26!$A$2:$U$737,3,FALSE)</f>
        <v>2016</v>
      </c>
      <c r="D151" t="str">
        <f>VLOOKUP($A151,articles_2026_01_26!$A$2:$U$737,2,FALSE)</f>
        <v>Knowledge usersâ€™ perspectives and advice on how to improve knowledge exchange and mobilization in the case of a co-managed fishery</v>
      </c>
      <c r="E151" t="str">
        <f>VLOOKUP($A151,articles_2026_01_26!$A$2:$U$737,6,FALSE)</f>
        <v>Environmental Science and Policy</v>
      </c>
      <c r="F151">
        <f>VLOOKUP($A151,articles_2026_01_26!$A$2:$U$737,8,FALSE)</f>
        <v>66</v>
      </c>
      <c r="G151">
        <f>VLOOKUP($A151,articles_2026_01_26!$A$2:$U$737,9,FALSE)</f>
        <v>0</v>
      </c>
      <c r="H151" t="str">
        <f>VLOOKUP($A151,articles_2026_01_26!$A$2:$U$737,10,FALSE)</f>
        <v>170-178</v>
      </c>
      <c r="I151" t="str">
        <f>VLOOKUP($A151,articles_2026_01_26!$A$2:$U$737,18,FALSE)</f>
        <v>10.1016/j.envsci.2016.09.002</v>
      </c>
    </row>
    <row r="152" spans="1:9" x14ac:dyDescent="0.25">
      <c r="A152" t="s">
        <v>2968</v>
      </c>
      <c r="B152" t="str">
        <f>VLOOKUP($A152,articles_2026_01_26!$A$2:$U$737,11,FALSE)</f>
        <v>Arias, M. and Hinsley, A. and Milner-Gulland, E.J.</v>
      </c>
      <c r="C152">
        <f>VLOOKUP($A152,articles_2026_01_26!$A$2:$U$737,3,FALSE)</f>
        <v>2021</v>
      </c>
      <c r="D152" t="str">
        <f>VLOOKUP($A152,articles_2026_01_26!$A$2:$U$737,2,FALSE)</f>
        <v>Use of evidence for decision-making by conservation practitioners in the illegal wildlife trade</v>
      </c>
      <c r="E152" t="str">
        <f>VLOOKUP($A152,articles_2026_01_26!$A$2:$U$737,6,FALSE)</f>
        <v>People and Nature</v>
      </c>
      <c r="F152">
        <f>VLOOKUP($A152,articles_2026_01_26!$A$2:$U$737,8,FALSE)</f>
        <v>3</v>
      </c>
      <c r="G152">
        <f>VLOOKUP($A152,articles_2026_01_26!$A$2:$U$737,9,FALSE)</f>
        <v>5</v>
      </c>
      <c r="H152" t="str">
        <f>VLOOKUP($A152,articles_2026_01_26!$A$2:$U$737,10,FALSE)</f>
        <v>1110-1126</v>
      </c>
      <c r="I152" t="str">
        <f>VLOOKUP($A152,articles_2026_01_26!$A$2:$U$737,18,FALSE)</f>
        <v>10.1002/pan3.10258</v>
      </c>
    </row>
    <row r="153" spans="1:9" x14ac:dyDescent="0.25">
      <c r="A153" t="s">
        <v>3066</v>
      </c>
      <c r="B153" t="str">
        <f>VLOOKUP($A153,articles_2026_01_26!$A$2:$U$737,11,FALSE)</f>
        <v>Coll, M. and Cury, P. and Azzurro, E. and Bariche, M. and Bayadas, G. and Bellido, J.M. and Chaboud, C. and Claudet, J. and El-Sayed, A.-F. and Gascuel, D. and Knittweis, L. and Pipitone, C. and Samuel-Rhoads, Y. and Taleb, S. and Tudela, S. and Valls, A.</v>
      </c>
      <c r="C153">
        <f>VLOOKUP($A153,articles_2026_01_26!$A$2:$U$737,3,FALSE)</f>
        <v>2013</v>
      </c>
      <c r="D153" t="str">
        <f>VLOOKUP($A153,articles_2026_01_26!$A$2:$U$737,2,FALSE)</f>
        <v>The scientific strategy needed to promote a regional ecosystem-based approach to fisheries in the Mediterranean and Black Seas</v>
      </c>
      <c r="E153" t="str">
        <f>VLOOKUP($A153,articles_2026_01_26!$A$2:$U$737,6,FALSE)</f>
        <v>Reviews in Fish Biology and Fisheries</v>
      </c>
      <c r="F153">
        <f>VLOOKUP($A153,articles_2026_01_26!$A$2:$U$737,8,FALSE)</f>
        <v>23</v>
      </c>
      <c r="G153">
        <f>VLOOKUP($A153,articles_2026_01_26!$A$2:$U$737,9,FALSE)</f>
        <v>4</v>
      </c>
      <c r="H153" t="str">
        <f>VLOOKUP($A153,articles_2026_01_26!$A$2:$U$737,10,FALSE)</f>
        <v>415-434</v>
      </c>
      <c r="I153" t="str">
        <f>VLOOKUP($A153,articles_2026_01_26!$A$2:$U$737,18,FALSE)</f>
        <v>10.1007/s11160-013-9305-y</v>
      </c>
    </row>
    <row r="154" spans="1:9" x14ac:dyDescent="0.25">
      <c r="A154" t="s">
        <v>3105</v>
      </c>
      <c r="B154" t="str">
        <f>VLOOKUP($A154,articles_2026_01_26!$A$2:$U$737,11,FALSE)</f>
        <v>Davies, A.L. and Colombo, S. and Hanley, N.</v>
      </c>
      <c r="C154">
        <f>VLOOKUP($A154,articles_2026_01_26!$A$2:$U$737,3,FALSE)</f>
        <v>2014</v>
      </c>
      <c r="D154" t="str">
        <f>VLOOKUP($A154,articles_2026_01_26!$A$2:$U$737,2,FALSE)</f>
        <v>Improving the application of long-term ecology in conservation and land management</v>
      </c>
      <c r="E154" t="str">
        <f>VLOOKUP($A154,articles_2026_01_26!$A$2:$U$737,6,FALSE)</f>
        <v>Journal of Applied Ecology</v>
      </c>
      <c r="F154">
        <f>VLOOKUP($A154,articles_2026_01_26!$A$2:$U$737,8,FALSE)</f>
        <v>51</v>
      </c>
      <c r="G154">
        <f>VLOOKUP($A154,articles_2026_01_26!$A$2:$U$737,9,FALSE)</f>
        <v>1</v>
      </c>
      <c r="H154" t="str">
        <f>VLOOKUP($A154,articles_2026_01_26!$A$2:$U$737,10,FALSE)</f>
        <v>63-70</v>
      </c>
      <c r="I154" t="str">
        <f>VLOOKUP($A154,articles_2026_01_26!$A$2:$U$737,18,FALSE)</f>
        <v>10.1111/1365-2664.12163</v>
      </c>
    </row>
    <row r="155" spans="1:9" x14ac:dyDescent="0.25">
      <c r="A155" t="s">
        <v>3781</v>
      </c>
      <c r="B155" t="str">
        <f>VLOOKUP($A155,articles_2026_01_26!$A$2:$U$737,11,FALSE)</f>
        <v>GonzÃ¡lez, A. and Keneghan, D. and Fry, J. and Hochstrasser, T.</v>
      </c>
      <c r="C155">
        <f>VLOOKUP($A155,articles_2026_01_26!$A$2:$U$737,3,FALSE)</f>
        <v>2014</v>
      </c>
      <c r="D155" t="str">
        <f>VLOOKUP($A155,articles_2026_01_26!$A$2:$U$737,2,FALSE)</f>
        <v>Current practice in biodiversity impact assessment and prospects for developing an integrated process</v>
      </c>
      <c r="E155" t="str">
        <f>VLOOKUP($A155,articles_2026_01_26!$A$2:$U$737,6,FALSE)</f>
        <v>Impact Assessment and Project Appraisal</v>
      </c>
      <c r="F155">
        <f>VLOOKUP($A155,articles_2026_01_26!$A$2:$U$737,8,FALSE)</f>
        <v>32</v>
      </c>
      <c r="G155">
        <f>VLOOKUP($A155,articles_2026_01_26!$A$2:$U$737,9,FALSE)</f>
        <v>1</v>
      </c>
      <c r="H155" t="str">
        <f>VLOOKUP($A155,articles_2026_01_26!$A$2:$U$737,10,FALSE)</f>
        <v>31-42</v>
      </c>
      <c r="I155" t="str">
        <f>VLOOKUP($A155,articles_2026_01_26!$A$2:$U$737,18,FALSE)</f>
        <v>10.1080/14615517.2013.850839</v>
      </c>
    </row>
    <row r="156" spans="1:9" x14ac:dyDescent="0.25">
      <c r="A156" t="s">
        <v>3975</v>
      </c>
      <c r="B156" t="str">
        <f>VLOOKUP($A156,articles_2026_01_26!$A$2:$U$737,11,FALSE)</f>
        <v>Ainsworth, G.B. and Redpath, S.M. and Wilson, M. and Wernham, C. and Young, J.C.</v>
      </c>
      <c r="C156">
        <f>VLOOKUP($A156,articles_2026_01_26!$A$2:$U$737,3,FALSE)</f>
        <v>2020</v>
      </c>
      <c r="D156" t="str">
        <f>VLOOKUP($A156,articles_2026_01_26!$A$2:$U$737,2,FALSE)</f>
        <v>Integrating scientific and local knowledge to address conservation conflicts: Towards a practical framework based on lessons learned from a Scottish case study</v>
      </c>
      <c r="E156" t="str">
        <f>VLOOKUP($A156,articles_2026_01_26!$A$2:$U$737,6,FALSE)</f>
        <v>Environmental Science and Policy</v>
      </c>
      <c r="F156">
        <f>VLOOKUP($A156,articles_2026_01_26!$A$2:$U$737,8,FALSE)</f>
        <v>107</v>
      </c>
      <c r="G156">
        <f>VLOOKUP($A156,articles_2026_01_26!$A$2:$U$737,9,FALSE)</f>
        <v>0</v>
      </c>
      <c r="H156" t="str">
        <f>VLOOKUP($A156,articles_2026_01_26!$A$2:$U$737,10,FALSE)</f>
        <v>46-55</v>
      </c>
      <c r="I156" t="str">
        <f>VLOOKUP($A156,articles_2026_01_26!$A$2:$U$737,18,FALSE)</f>
        <v>10.1016/j.envsci.2020.02.017</v>
      </c>
    </row>
    <row r="157" spans="1:9" x14ac:dyDescent="0.25">
      <c r="A157" t="s">
        <v>4053</v>
      </c>
      <c r="B157" t="str">
        <f>VLOOKUP($A157,articles_2026_01_26!$A$2:$U$737,11,FALSE)</f>
        <v>Kuiper, T. and Ngwenya, N. and Kavhu, B. and Mandisodza-Chikerema, R. and Milner-Gulland, E.J.</v>
      </c>
      <c r="C157">
        <f>VLOOKUP($A157,articles_2026_01_26!$A$2:$U$737,3,FALSE)</f>
        <v>2023</v>
      </c>
      <c r="D157" t="str">
        <f>VLOOKUP($A157,articles_2026_01_26!$A$2:$U$737,2,FALSE)</f>
        <v>Making adaptive management more user friendly to encourage manager buy-in</v>
      </c>
      <c r="E157" t="str">
        <f>VLOOKUP($A157,articles_2026_01_26!$A$2:$U$737,6,FALSE)</f>
        <v>People and Nature</v>
      </c>
      <c r="F157">
        <f>VLOOKUP($A157,articles_2026_01_26!$A$2:$U$737,8,FALSE)</f>
        <v>5</v>
      </c>
      <c r="G157">
        <f>VLOOKUP($A157,articles_2026_01_26!$A$2:$U$737,9,FALSE)</f>
        <v>2</v>
      </c>
      <c r="H157" t="str">
        <f>VLOOKUP($A157,articles_2026_01_26!$A$2:$U$737,10,FALSE)</f>
        <v>684-698</v>
      </c>
      <c r="I157" t="str">
        <f>VLOOKUP($A157,articles_2026_01_26!$A$2:$U$737,18,FALSE)</f>
        <v>10.1002/pan3.10440</v>
      </c>
    </row>
    <row r="158" spans="1:9" x14ac:dyDescent="0.25">
      <c r="A158" t="s">
        <v>4185</v>
      </c>
      <c r="B158" t="str">
        <f>VLOOKUP($A158,articles_2026_01_26!$A$2:$U$737,11,FALSE)</f>
        <v>Valdez, J.W. and Pereira, H.M. and MorejÃ³n, G.F. and Acosta-MuÃ±oz, C. and Bonet Garcia, F.J. and Castro Vergara, L. and Claros, X.R. and Gill, M.J. and Josse, C. and Lafuente-Cartagena, I. and Langstroth, R. and Sheppard, S.N. and Orihuela, G. and Prieto-Albuja, F.J. and Quillahuaman, N. and TerÃ¡n, M.F. and Zambrana-Torrelio, C.M. and Navarro, L.M. and Fernandez, M.</v>
      </c>
      <c r="C158">
        <f>VLOOKUP($A158,articles_2026_01_26!$A$2:$U$737,3,FALSE)</f>
        <v>2023</v>
      </c>
      <c r="D158" t="str">
        <f>VLOOKUP($A158,articles_2026_01_26!$A$2:$U$737,2,FALSE)</f>
        <v>Tailoring evidence into action: Using a co-design approach for biodiversity information in the Tropical Andes</v>
      </c>
      <c r="E158" t="str">
        <f>VLOOKUP($A158,articles_2026_01_26!$A$2:$U$737,6,FALSE)</f>
        <v>Conservation Science and Practice</v>
      </c>
      <c r="F158">
        <f>VLOOKUP($A158,articles_2026_01_26!$A$2:$U$737,8,FALSE)</f>
        <v>5</v>
      </c>
      <c r="G158">
        <f>VLOOKUP($A158,articles_2026_01_26!$A$2:$U$737,9,FALSE)</f>
        <v>12</v>
      </c>
      <c r="H158">
        <f>VLOOKUP($A158,articles_2026_01_26!$A$2:$U$737,10,FALSE)</f>
        <v>0</v>
      </c>
      <c r="I158" t="str">
        <f>VLOOKUP($A158,articles_2026_01_26!$A$2:$U$737,18,FALSE)</f>
        <v>10.1111/csp2.13035</v>
      </c>
    </row>
    <row r="159" spans="1:9" x14ac:dyDescent="0.25">
      <c r="A159" t="s">
        <v>4314</v>
      </c>
      <c r="B159" t="str">
        <f>VLOOKUP($A159,articles_2026_01_26!$A$2:$U$737,11,FALSE)</f>
        <v>Grand, L. and Messer, K.D. and Allen, W.</v>
      </c>
      <c r="C159">
        <f>VLOOKUP($A159,articles_2026_01_26!$A$2:$U$737,3,FALSE)</f>
        <v>2017</v>
      </c>
      <c r="D159" t="str">
        <f>VLOOKUP($A159,articles_2026_01_26!$A$2:$U$737,2,FALSE)</f>
        <v>Understanding and Overcoming the Barriers for Cost-effective Conservation</v>
      </c>
      <c r="E159" t="str">
        <f>VLOOKUP($A159,articles_2026_01_26!$A$2:$U$737,6,FALSE)</f>
        <v>Ecological Economics</v>
      </c>
      <c r="F159">
        <f>VLOOKUP($A159,articles_2026_01_26!$A$2:$U$737,8,FALSE)</f>
        <v>138</v>
      </c>
      <c r="G159">
        <f>VLOOKUP($A159,articles_2026_01_26!$A$2:$U$737,9,FALSE)</f>
        <v>0</v>
      </c>
      <c r="H159" t="str">
        <f>VLOOKUP($A159,articles_2026_01_26!$A$2:$U$737,10,FALSE)</f>
        <v>139-144</v>
      </c>
      <c r="I159" t="str">
        <f>VLOOKUP($A159,articles_2026_01_26!$A$2:$U$737,18,FALSE)</f>
        <v>10.1016/j.ecolecon.2017.03.027</v>
      </c>
    </row>
    <row r="160" spans="1:9" x14ac:dyDescent="0.25">
      <c r="A160" t="s">
        <v>4352</v>
      </c>
      <c r="B160" t="str">
        <f>VLOOKUP($A160,articles_2026_01_26!$A$2:$U$737,11,FALSE)</f>
        <v>Pelletier, D.</v>
      </c>
      <c r="C160">
        <f>VLOOKUP($A160,articles_2026_01_26!$A$2:$U$737,3,FALSE)</f>
        <v>2020</v>
      </c>
      <c r="D160" t="str">
        <f>VLOOKUP($A160,articles_2026_01_26!$A$2:$U$737,2,FALSE)</f>
        <v>Assessing the Effectiveness of Coastal Marine Protected Area Management: Four Learned Lessons for Science Uptake and Upscaling</v>
      </c>
      <c r="E160" t="str">
        <f>VLOOKUP($A160,articles_2026_01_26!$A$2:$U$737,6,FALSE)</f>
        <v>Frontiers in Marine Science</v>
      </c>
      <c r="F160">
        <f>VLOOKUP($A160,articles_2026_01_26!$A$2:$U$737,8,FALSE)</f>
        <v>7</v>
      </c>
      <c r="G160">
        <f>VLOOKUP($A160,articles_2026_01_26!$A$2:$U$737,9,FALSE)</f>
        <v>0</v>
      </c>
      <c r="H160">
        <f>VLOOKUP($A160,articles_2026_01_26!$A$2:$U$737,10,FALSE)</f>
        <v>0</v>
      </c>
      <c r="I160" t="str">
        <f>VLOOKUP($A160,articles_2026_01_26!$A$2:$U$737,18,FALSE)</f>
        <v>10.3389/fmars.2020.545930</v>
      </c>
    </row>
    <row r="161" spans="1:9" x14ac:dyDescent="0.25">
      <c r="A161" t="s">
        <v>4753</v>
      </c>
      <c r="B161" t="str">
        <f>VLOOKUP($A161,articles_2026_01_26!$A$2:$U$737,11,FALSE)</f>
        <v>Anderson, W.F.A. and Maclean, D.A.</v>
      </c>
      <c r="C161">
        <f>VLOOKUP($A161,articles_2026_01_26!$A$2:$U$737,3,FALSE)</f>
        <v>2015</v>
      </c>
      <c r="D161" t="str">
        <f>VLOOKUP($A161,articles_2026_01_26!$A$2:$U$737,2,FALSE)</f>
        <v>Public forest policy development in new Brunswick, Canada: Multiple streams approach, advocacy coalition framework, and the role of science</v>
      </c>
      <c r="E161" t="str">
        <f>VLOOKUP($A161,articles_2026_01_26!$A$2:$U$737,6,FALSE)</f>
        <v>Ecology and Society</v>
      </c>
      <c r="F161">
        <f>VLOOKUP($A161,articles_2026_01_26!$A$2:$U$737,8,FALSE)</f>
        <v>20</v>
      </c>
      <c r="G161">
        <f>VLOOKUP($A161,articles_2026_01_26!$A$2:$U$737,9,FALSE)</f>
        <v>4</v>
      </c>
      <c r="H161">
        <f>VLOOKUP($A161,articles_2026_01_26!$A$2:$U$737,10,FALSE)</f>
        <v>0</v>
      </c>
      <c r="I161" t="str">
        <f>VLOOKUP($A161,articles_2026_01_26!$A$2:$U$737,18,FALSE)</f>
        <v>10.5751/ES-07795-200420</v>
      </c>
    </row>
    <row r="162" spans="1:9" x14ac:dyDescent="0.25">
      <c r="A162" t="s">
        <v>4766</v>
      </c>
      <c r="B162" t="str">
        <f>VLOOKUP($A162,articles_2026_01_26!$A$2:$U$737,11,FALSE)</f>
        <v>Ormerod, S.J. and Barlow, N.D. and Marshall, E.J.P. and Kerby, G.</v>
      </c>
      <c r="C162">
        <f>VLOOKUP($A162,articles_2026_01_26!$A$2:$U$737,3,FALSE)</f>
        <v>2002</v>
      </c>
      <c r="D162" t="str">
        <f>VLOOKUP($A162,articles_2026_01_26!$A$2:$U$737,2,FALSE)</f>
        <v>The uptake of applied ecology</v>
      </c>
      <c r="E162" t="str">
        <f>VLOOKUP($A162,articles_2026_01_26!$A$2:$U$737,6,FALSE)</f>
        <v>Journal of Applied Ecology</v>
      </c>
      <c r="F162">
        <f>VLOOKUP($A162,articles_2026_01_26!$A$2:$U$737,8,FALSE)</f>
        <v>39</v>
      </c>
      <c r="G162">
        <f>VLOOKUP($A162,articles_2026_01_26!$A$2:$U$737,9,FALSE)</f>
        <v>1</v>
      </c>
      <c r="H162">
        <f>VLOOKUP($A162,articles_2026_01_26!$A$2:$U$737,10,FALSE)</f>
        <v>46204</v>
      </c>
      <c r="I162" t="str">
        <f>VLOOKUP($A162,articles_2026_01_26!$A$2:$U$737,18,FALSE)</f>
        <v>10.1046/j.0021-8901.2001.00705.x</v>
      </c>
    </row>
    <row r="163" spans="1:9" x14ac:dyDescent="0.25">
      <c r="A163" t="s">
        <v>4773</v>
      </c>
      <c r="B163" t="str">
        <f>VLOOKUP($A163,articles_2026_01_26!$A$2:$U$737,11,FALSE)</f>
        <v>Messmer, T.A. and Hasenyager, R. and Burruss, J. and Liguori, S.</v>
      </c>
      <c r="C163">
        <f>VLOOKUP($A163,articles_2026_01_26!$A$2:$U$737,3,FALSE)</f>
        <v>2013</v>
      </c>
      <c r="D163" t="str">
        <f>VLOOKUP($A163,articles_2026_01_26!$A$2:$U$737,2,FALSE)</f>
        <v>Stakeholder contemporary knowledge needs regarding the potential effects of tall structures on sage-grouse</v>
      </c>
      <c r="E163" t="str">
        <f>VLOOKUP($A163,articles_2026_01_26!$A$2:$U$737,6,FALSE)</f>
        <v>Human-Wildlife Interactions</v>
      </c>
      <c r="F163">
        <f>VLOOKUP($A163,articles_2026_01_26!$A$2:$U$737,8,FALSE)</f>
        <v>7</v>
      </c>
      <c r="G163">
        <f>VLOOKUP($A163,articles_2026_01_26!$A$2:$U$737,9,FALSE)</f>
        <v>2</v>
      </c>
      <c r="H163" t="str">
        <f>VLOOKUP($A163,articles_2026_01_26!$A$2:$U$737,10,FALSE)</f>
        <v>273-298</v>
      </c>
      <c r="I163">
        <f>VLOOKUP($A163,articles_2026_01_26!$A$2:$U$737,18,FALSE)</f>
        <v>0</v>
      </c>
    </row>
    <row r="164" spans="1:9" x14ac:dyDescent="0.25">
      <c r="A164" t="s">
        <v>4893</v>
      </c>
      <c r="B164" t="str">
        <f>VLOOKUP($A164,articles_2026_01_26!$A$2:$U$737,11,FALSE)</f>
        <v>Koehn, JD and Balcombe, SR and Zampatti, BP</v>
      </c>
      <c r="C164">
        <f>VLOOKUP($A164,articles_2026_01_26!$A$2:$U$737,3,FALSE)</f>
        <v>2019</v>
      </c>
      <c r="D164" t="str">
        <f>VLOOKUP($A164,articles_2026_01_26!$A$2:$U$737,2,FALSE)</f>
        <v>Fish and flow management in the Murray-Darling Basin: Directions for research</v>
      </c>
      <c r="E164" t="str">
        <f>VLOOKUP($A164,articles_2026_01_26!$A$2:$U$737,6,FALSE)</f>
        <v>ECOLOGICAL MANAGEMENT &amp; RESTORATION</v>
      </c>
      <c r="F164">
        <f>VLOOKUP($A164,articles_2026_01_26!$A$2:$U$737,8,FALSE)</f>
        <v>20</v>
      </c>
      <c r="G164">
        <f>VLOOKUP($A164,articles_2026_01_26!$A$2:$U$737,9,FALSE)</f>
        <v>2</v>
      </c>
      <c r="H164" t="str">
        <f>VLOOKUP($A164,articles_2026_01_26!$A$2:$U$737,10,FALSE)</f>
        <v>142-150</v>
      </c>
      <c r="I164" t="str">
        <f>VLOOKUP($A164,articles_2026_01_26!$A$2:$U$737,18,FALSE)</f>
        <v>10.1111/emr.12358     WE  - Science Citation Index Expanded (SCI-EXPANDED)</v>
      </c>
    </row>
    <row r="165" spans="1:9" x14ac:dyDescent="0.25">
      <c r="A165" t="s">
        <v>5104</v>
      </c>
      <c r="B165" t="str">
        <f>VLOOKUP($A165,articles_2026_01_26!$A$2:$U$737,11,FALSE)</f>
        <v>Pfaeffle, T and Moore, MA and Cravens, AE and McEvoy, J and Bamzai-Dodson, A</v>
      </c>
      <c r="C165">
        <f>VLOOKUP($A165,articles_2026_01_26!$A$2:$U$737,3,FALSE)</f>
        <v>2022</v>
      </c>
      <c r="D165" t="str">
        <f>VLOOKUP($A165,articles_2026_01_26!$A$2:$U$737,2,FALSE)</f>
        <v>Murky waters: divergent ways scientists, practitioners, and landowners evaluate beaver mimicry</v>
      </c>
      <c r="E165" t="str">
        <f>VLOOKUP($A165,articles_2026_01_26!$A$2:$U$737,6,FALSE)</f>
        <v>ECOLOGY AND SOCIETY</v>
      </c>
      <c r="F165">
        <f>VLOOKUP($A165,articles_2026_01_26!$A$2:$U$737,8,FALSE)</f>
        <v>27</v>
      </c>
      <c r="G165">
        <f>VLOOKUP($A165,articles_2026_01_26!$A$2:$U$737,9,FALSE)</f>
        <v>1</v>
      </c>
      <c r="H165">
        <f>VLOOKUP($A165,articles_2026_01_26!$A$2:$U$737,10,FALSE)</f>
        <v>0</v>
      </c>
      <c r="I165" t="str">
        <f>VLOOKUP($A165,articles_2026_01_26!$A$2:$U$737,18,FALSE)</f>
        <v>10.5751/ES-13006-270141     WE  - Science Citation Index Expanded (SCI-EXPANDED)     WE  - Social Science Citation Index (SSCI)</v>
      </c>
    </row>
    <row r="166" spans="1:9" x14ac:dyDescent="0.25">
      <c r="A166" t="s">
        <v>3004</v>
      </c>
      <c r="B166" t="str">
        <f>VLOOKUP($A166,articles_2026_01_26!$A$2:$U$737,11,FALSE)</f>
        <v>Rittenhouse, J. and Leites, L. and Derham, K. and Miller, S.</v>
      </c>
      <c r="C166">
        <f>VLOOKUP($A166,articles_2026_01_26!$A$2:$U$737,3,FALSE)</f>
        <v>2018</v>
      </c>
      <c r="D166" t="str">
        <f>VLOOKUP($A166,articles_2026_01_26!$A$2:$U$737,2,FALSE)</f>
        <v>Insights on the use of decision-support tools to sustain forest ecosystems from a case study in Pennsylvania, USA</v>
      </c>
      <c r="E166" t="str">
        <f>VLOOKUP($A166,articles_2026_01_26!$A$2:$U$737,6,FALSE)</f>
        <v>Journal of Forestry</v>
      </c>
      <c r="F166">
        <f>VLOOKUP($A166,articles_2026_01_26!$A$2:$U$737,8,FALSE)</f>
        <v>116</v>
      </c>
      <c r="G166">
        <f>VLOOKUP($A166,articles_2026_01_26!$A$2:$U$737,9,FALSE)</f>
        <v>4</v>
      </c>
      <c r="H166" t="str">
        <f>VLOOKUP($A166,articles_2026_01_26!$A$2:$U$737,10,FALSE)</f>
        <v>391-395</v>
      </c>
      <c r="I166" t="str">
        <f>VLOOKUP($A166,articles_2026_01_26!$A$2:$U$737,18,FALSE)</f>
        <v>10.1093/jofore/fvy016</v>
      </c>
    </row>
    <row r="167" spans="1:9" x14ac:dyDescent="0.25">
      <c r="A167" t="s">
        <v>5172</v>
      </c>
      <c r="B167" t="str">
        <f>VLOOKUP($A167,articles_2026_01_26!$A$2:$U$737,11,FALSE)</f>
        <v>GagnÃ©, SA and Bryan-Scaggs, K and Boyer, RHW and Xiang, WN</v>
      </c>
      <c r="C167">
        <f>VLOOKUP($A167,articles_2026_01_26!$A$2:$U$737,3,FALSE)</f>
        <v>2020</v>
      </c>
      <c r="D167" t="str">
        <f>VLOOKUP($A167,articles_2026_01_26!$A$2:$U$737,2,FALSE)</f>
        <v>Conserving biodiversity takes a plan: How planners implement ecological information for biodiversity conservation</v>
      </c>
      <c r="E167" t="str">
        <f>VLOOKUP($A167,articles_2026_01_26!$A$2:$U$737,6,FALSE)</f>
        <v>AMBIO</v>
      </c>
      <c r="F167">
        <f>VLOOKUP($A167,articles_2026_01_26!$A$2:$U$737,8,FALSE)</f>
        <v>49</v>
      </c>
      <c r="G167">
        <f>VLOOKUP($A167,articles_2026_01_26!$A$2:$U$737,9,FALSE)</f>
        <v>9</v>
      </c>
      <c r="H167" t="str">
        <f>VLOOKUP($A167,articles_2026_01_26!$A$2:$U$737,10,FALSE)</f>
        <v>1490-1505</v>
      </c>
      <c r="I167" t="str">
        <f>VLOOKUP($A167,articles_2026_01_26!$A$2:$U$737,18,FALSE)</f>
        <v>10.1007/s13280-019-01281-z</v>
      </c>
    </row>
    <row r="168" spans="1:9" x14ac:dyDescent="0.25">
      <c r="A168" t="s">
        <v>5548</v>
      </c>
      <c r="B168" t="str">
        <f>VLOOKUP($A168,articles_2026_01_26!$A$2:$U$737,11,FALSE)</f>
        <v>Gootee, RS and Blatner, KA and Baumgartner, DM and Carroll, MS and Weber, EP</v>
      </c>
      <c r="C168">
        <f>VLOOKUP($A168,articles_2026_01_26!$A$2:$U$737,3,FALSE)</f>
        <v>2010</v>
      </c>
      <c r="D168" t="str">
        <f>VLOOKUP($A168,articles_2026_01_26!$A$2:$U$737,2,FALSE)</f>
        <v>Choosing What to Believe About Forests: Differences Between Professional and Non-Professional Evaluative Criteria</v>
      </c>
      <c r="E168" t="str">
        <f>VLOOKUP($A168,articles_2026_01_26!$A$2:$U$737,6,FALSE)</f>
        <v>SMALL-SCALE FORESTRY</v>
      </c>
      <c r="F168">
        <f>VLOOKUP($A168,articles_2026_01_26!$A$2:$U$737,8,FALSE)</f>
        <v>9</v>
      </c>
      <c r="G168">
        <f>VLOOKUP($A168,articles_2026_01_26!$A$2:$U$737,9,FALSE)</f>
        <v>2</v>
      </c>
      <c r="H168" t="str">
        <f>VLOOKUP($A168,articles_2026_01_26!$A$2:$U$737,10,FALSE)</f>
        <v>137-152</v>
      </c>
      <c r="I168" t="str">
        <f>VLOOKUP($A168,articles_2026_01_26!$A$2:$U$737,18,FALSE)</f>
        <v>10.1007/s11842-010-9113-3     WE  - Science Citation Index Expanded (SCI-EXPANDED)</v>
      </c>
    </row>
    <row r="169" spans="1:9" x14ac:dyDescent="0.25">
      <c r="A169" t="s">
        <v>5738</v>
      </c>
      <c r="B169" t="str">
        <f>VLOOKUP($A169,articles_2026_01_26!$A$2:$U$737,11,FALSE)</f>
        <v>Juhola, S and Huotari, E and Kolehmainen, L and Silfverberg, O and Korhonen-Kurki, K</v>
      </c>
      <c r="C169">
        <f>VLOOKUP($A169,articles_2026_01_26!$A$2:$U$737,3,FALSE)</f>
        <v>2024</v>
      </c>
      <c r="D169" t="str">
        <f>VLOOKUP($A169,articles_2026_01_26!$A$2:$U$737,2,FALSE)</f>
        <v>Knowledge brokering at the environmental science-policy interface - examining structure and activity</v>
      </c>
      <c r="E169" t="str">
        <f>VLOOKUP($A169,articles_2026_01_26!$A$2:$U$737,6,FALSE)</f>
        <v>ENVIRONMENTAL SCIENCE &amp; POLICY</v>
      </c>
      <c r="F169">
        <f>VLOOKUP($A169,articles_2026_01_26!$A$2:$U$737,8,FALSE)</f>
        <v>153</v>
      </c>
      <c r="G169">
        <f>VLOOKUP($A169,articles_2026_01_26!$A$2:$U$737,9,FALSE)</f>
        <v>0</v>
      </c>
      <c r="H169">
        <f>VLOOKUP($A169,articles_2026_01_26!$A$2:$U$737,10,FALSE)</f>
        <v>0</v>
      </c>
      <c r="I169" t="str">
        <f>VLOOKUP($A169,articles_2026_01_26!$A$2:$U$737,18,FALSE)</f>
        <v>10.1016/j.envsci.2024.103672</v>
      </c>
    </row>
    <row r="170" spans="1:9" x14ac:dyDescent="0.25">
      <c r="A170" t="s">
        <v>5745</v>
      </c>
      <c r="B170" t="str">
        <f>VLOOKUP($A170,articles_2026_01_26!$A$2:$U$737,11,FALSE)</f>
        <v>FerrÃ©, M and Martin-Ortega, J and Di Gregorio, M and Dallimer, M</v>
      </c>
      <c r="C170">
        <f>VLOOKUP($A170,articles_2026_01_26!$A$2:$U$737,3,FALSE)</f>
        <v>2022</v>
      </c>
      <c r="D170" t="str">
        <f>VLOOKUP($A170,articles_2026_01_26!$A$2:$U$737,2,FALSE)</f>
        <v>How do information flows affect impact from environmental research?-An analysis of a science-policy network</v>
      </c>
      <c r="E170" t="str">
        <f>VLOOKUP($A170,articles_2026_01_26!$A$2:$U$737,6,FALSE)</f>
        <v>JOURNAL OF ENVIRONMENTAL MANAGEMENT</v>
      </c>
      <c r="F170">
        <f>VLOOKUP($A170,articles_2026_01_26!$A$2:$U$737,8,FALSE)</f>
        <v>321</v>
      </c>
      <c r="G170">
        <f>VLOOKUP($A170,articles_2026_01_26!$A$2:$U$737,9,FALSE)</f>
        <v>0</v>
      </c>
      <c r="H170">
        <f>VLOOKUP($A170,articles_2026_01_26!$A$2:$U$737,10,FALSE)</f>
        <v>0</v>
      </c>
      <c r="I170" t="str">
        <f>VLOOKUP($A170,articles_2026_01_26!$A$2:$U$737,18,FALSE)</f>
        <v>10.1016/j.jenvman.2022.115828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articles_2026_01_26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Anthony Martin</dc:creator>
  <cp:lastModifiedBy>Philip Anthony Martin</cp:lastModifiedBy>
  <dcterms:created xsi:type="dcterms:W3CDTF">2026-01-31T11:58:16Z</dcterms:created>
  <dcterms:modified xsi:type="dcterms:W3CDTF">2026-01-31T12:03:16Z</dcterms:modified>
</cp:coreProperties>
</file>